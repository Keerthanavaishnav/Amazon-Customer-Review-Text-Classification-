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TSM-PGDDSBA -QTR2\DMBI\SOLVED PROBLEMS\"/>
    </mc:Choice>
  </mc:AlternateContent>
  <xr:revisionPtr revIDLastSave="0" documentId="13_ncr:1_{D01A1F3F-80B3-401C-ABBD-49A9CCA538D6}" xr6:coauthVersionLast="47" xr6:coauthVersionMax="47" xr10:uidLastSave="{00000000-0000-0000-0000-000000000000}"/>
  <bookViews>
    <workbookView xWindow="-108" yWindow="-108" windowWidth="23256" windowHeight="13896" xr2:uid="{27197E8B-ACF5-483C-B1A7-6A9938F85B6A}"/>
  </bookViews>
  <sheets>
    <sheet name="Question" sheetId="1" r:id="rId1"/>
    <sheet name="TEXT PREPROCESSING" sheetId="6" r:id="rId2"/>
    <sheet name="NAIVE BAYES text classification" sheetId="8" r:id="rId3"/>
    <sheet name="DESIRED CLASS" sheetId="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9" l="1"/>
  <c r="L7" i="9"/>
  <c r="P6" i="9"/>
  <c r="K7" i="9"/>
  <c r="K6" i="9"/>
  <c r="L16" i="9"/>
  <c r="M16" i="9"/>
  <c r="N16" i="9"/>
  <c r="O16" i="9"/>
  <c r="P16" i="9"/>
  <c r="Q16" i="9"/>
  <c r="R16" i="9"/>
  <c r="S16" i="9"/>
  <c r="T16" i="9"/>
  <c r="U16" i="9"/>
  <c r="V16" i="9"/>
  <c r="W16" i="9"/>
  <c r="X16" i="9"/>
  <c r="Y16" i="9"/>
  <c r="Z16" i="9"/>
  <c r="AA16" i="9"/>
  <c r="AB16" i="9"/>
  <c r="AC16" i="9"/>
  <c r="AD16" i="9"/>
  <c r="K16" i="9"/>
  <c r="L26" i="9"/>
  <c r="M26" i="9"/>
  <c r="N26" i="9"/>
  <c r="O26" i="9"/>
  <c r="K27" i="9" s="1"/>
  <c r="P26" i="9"/>
  <c r="Q26" i="9"/>
  <c r="R26" i="9"/>
  <c r="S26" i="9"/>
  <c r="T26" i="9"/>
  <c r="U26" i="9"/>
  <c r="V26" i="9"/>
  <c r="W26" i="9"/>
  <c r="X26" i="9"/>
  <c r="Y26" i="9"/>
  <c r="Z26" i="9"/>
  <c r="AA26" i="9"/>
  <c r="AB26" i="9"/>
  <c r="AC26" i="9"/>
  <c r="AD26" i="9"/>
  <c r="AE26" i="9"/>
  <c r="AF26" i="9"/>
  <c r="AG26" i="9"/>
  <c r="AH26" i="9"/>
  <c r="AI26" i="9"/>
  <c r="AJ26" i="9"/>
  <c r="K26" i="9"/>
  <c r="AJ25" i="9"/>
  <c r="AI25" i="9"/>
  <c r="AH25" i="9"/>
  <c r="AG25" i="9"/>
  <c r="AF25" i="9"/>
  <c r="AE25" i="9"/>
  <c r="AD25" i="9"/>
  <c r="AC25" i="9"/>
  <c r="AB25" i="9"/>
  <c r="AA25" i="9"/>
  <c r="Z25" i="9"/>
  <c r="Y25" i="9"/>
  <c r="X25" i="9"/>
  <c r="W25" i="9"/>
  <c r="V25" i="9"/>
  <c r="U25" i="9"/>
  <c r="T25" i="9"/>
  <c r="S25" i="9"/>
  <c r="R25" i="9"/>
  <c r="Q25" i="9"/>
  <c r="P25" i="9"/>
  <c r="O25" i="9"/>
  <c r="N25" i="9"/>
  <c r="M25" i="9"/>
  <c r="L25" i="9"/>
  <c r="K25" i="9"/>
  <c r="AA21" i="9"/>
  <c r="AJ20" i="9"/>
  <c r="AI20" i="9"/>
  <c r="AH20" i="9"/>
  <c r="AG20" i="9"/>
  <c r="AF20" i="9"/>
  <c r="AE20" i="9"/>
  <c r="AD20" i="9"/>
  <c r="AC20" i="9"/>
  <c r="AB20" i="9"/>
  <c r="AA20" i="9"/>
  <c r="Z20" i="9"/>
  <c r="Y20" i="9"/>
  <c r="X20" i="9"/>
  <c r="W20" i="9"/>
  <c r="V20" i="9"/>
  <c r="S20" i="9"/>
  <c r="R20" i="9"/>
  <c r="Q20" i="9"/>
  <c r="P20" i="9"/>
  <c r="O20" i="9"/>
  <c r="N20" i="9"/>
  <c r="L20" i="9"/>
  <c r="M20" i="9"/>
  <c r="T20" i="9"/>
  <c r="U20" i="9"/>
  <c r="K20" i="9"/>
  <c r="AD15" i="9"/>
  <c r="AC15" i="9"/>
  <c r="Y15" i="9"/>
  <c r="X15" i="9"/>
  <c r="W15" i="9"/>
  <c r="V15" i="9"/>
  <c r="U15" i="9"/>
  <c r="T15" i="9"/>
  <c r="R15" i="9"/>
  <c r="Q15" i="9"/>
  <c r="P15" i="9"/>
  <c r="O15" i="9"/>
  <c r="N15" i="9"/>
  <c r="M15" i="9"/>
  <c r="L15" i="9"/>
  <c r="S15" i="9"/>
  <c r="Z15" i="9"/>
  <c r="AA15" i="9"/>
  <c r="AD10" i="9"/>
  <c r="AC10" i="9"/>
  <c r="AB10" i="9"/>
  <c r="Z10" i="9"/>
  <c r="AA10" i="9"/>
  <c r="Y10" i="9"/>
  <c r="X10" i="9"/>
  <c r="Q10" i="9"/>
  <c r="R10" i="9"/>
  <c r="S10" i="9"/>
  <c r="T10" i="9"/>
  <c r="U10" i="9"/>
  <c r="V10" i="9"/>
  <c r="W10" i="9"/>
  <c r="M10" i="9"/>
  <c r="N10" i="9"/>
  <c r="O10" i="9"/>
  <c r="P10" i="9"/>
  <c r="L10" i="9"/>
  <c r="K10" i="9"/>
  <c r="K15" i="9"/>
  <c r="D161" i="8"/>
  <c r="D162" i="8"/>
  <c r="D163" i="8"/>
  <c r="D164" i="8"/>
  <c r="D165" i="8"/>
  <c r="E161" i="8"/>
  <c r="E162" i="8"/>
  <c r="E163" i="8"/>
  <c r="E164" i="8"/>
  <c r="E165" i="8"/>
  <c r="H161" i="8"/>
  <c r="H162" i="8"/>
  <c r="H163" i="8"/>
  <c r="H164" i="8"/>
  <c r="H165" i="8"/>
  <c r="I161" i="8"/>
  <c r="I162" i="8"/>
  <c r="I163" i="8"/>
  <c r="I164" i="8"/>
  <c r="I165" i="8"/>
  <c r="H159" i="8"/>
  <c r="H160"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2" i="8"/>
  <c r="P2" i="8" a="1"/>
  <c r="P2" i="8" s="1"/>
  <c r="G6" i="8" s="1"/>
  <c r="I159" i="8"/>
  <c r="I160"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2" i="8"/>
  <c r="E159" i="8"/>
  <c r="E160"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2" i="8"/>
  <c r="B21" i="6"/>
  <c r="B20" i="6"/>
  <c r="B17" i="6"/>
  <c r="B18" i="6"/>
  <c r="B19" i="6"/>
  <c r="B22" i="6"/>
  <c r="B23" i="6"/>
  <c r="B24" i="6"/>
  <c r="B25" i="6"/>
  <c r="B16" i="6"/>
  <c r="G52" i="8" l="1"/>
  <c r="G51" i="8"/>
  <c r="G33" i="8"/>
  <c r="G29" i="8"/>
  <c r="G155" i="8"/>
  <c r="G154" i="8"/>
  <c r="G10" i="8"/>
  <c r="G135" i="8"/>
  <c r="G11" i="8"/>
  <c r="G134" i="8"/>
  <c r="G112" i="8"/>
  <c r="G113" i="8"/>
  <c r="G94" i="8"/>
  <c r="G93" i="8"/>
  <c r="G74" i="8"/>
  <c r="G71" i="8"/>
  <c r="G69" i="8"/>
  <c r="G46" i="8"/>
  <c r="G45" i="8"/>
  <c r="G83" i="8"/>
  <c r="G165" i="8"/>
  <c r="G101" i="8"/>
  <c r="G21" i="8"/>
  <c r="G161" i="8"/>
  <c r="G142" i="8"/>
  <c r="G122" i="8"/>
  <c r="G100" i="8"/>
  <c r="G81" i="8"/>
  <c r="G59" i="8"/>
  <c r="G39" i="8"/>
  <c r="G17" i="8"/>
  <c r="G153" i="8"/>
  <c r="G50" i="8"/>
  <c r="G149" i="8"/>
  <c r="G130" i="8"/>
  <c r="G110" i="8"/>
  <c r="G88" i="8"/>
  <c r="G5" i="8"/>
  <c r="G148" i="8"/>
  <c r="G129" i="8"/>
  <c r="G87" i="8"/>
  <c r="G4" i="8"/>
  <c r="G125" i="8"/>
  <c r="G86" i="8"/>
  <c r="G3" i="8"/>
  <c r="G146" i="8"/>
  <c r="G105" i="8"/>
  <c r="G63" i="8"/>
  <c r="G41" i="8"/>
  <c r="G160" i="8"/>
  <c r="G141" i="8"/>
  <c r="G119" i="8"/>
  <c r="G99" i="8"/>
  <c r="G77" i="8"/>
  <c r="G58" i="8"/>
  <c r="G38" i="8"/>
  <c r="G16" i="8"/>
  <c r="G131" i="8"/>
  <c r="G28" i="8"/>
  <c r="G47" i="8"/>
  <c r="G107" i="8"/>
  <c r="G26" i="8"/>
  <c r="G147" i="8"/>
  <c r="G106" i="8"/>
  <c r="G23" i="8"/>
  <c r="G143" i="8"/>
  <c r="G123" i="8"/>
  <c r="G82" i="8"/>
  <c r="G40" i="8"/>
  <c r="G159" i="8"/>
  <c r="G137" i="8"/>
  <c r="G118" i="8"/>
  <c r="G98" i="8"/>
  <c r="G76" i="8"/>
  <c r="G57" i="8"/>
  <c r="G35" i="8"/>
  <c r="G15" i="8"/>
  <c r="G111" i="8"/>
  <c r="G89" i="8"/>
  <c r="G70" i="8"/>
  <c r="G9" i="8"/>
  <c r="G27" i="8"/>
  <c r="G65" i="8"/>
  <c r="G64" i="8"/>
  <c r="G2" i="8"/>
  <c r="G124" i="8"/>
  <c r="G22" i="8"/>
  <c r="G62" i="8"/>
  <c r="G158" i="8"/>
  <c r="G136" i="8"/>
  <c r="G117" i="8"/>
  <c r="G95" i="8"/>
  <c r="G75" i="8"/>
  <c r="G53" i="8"/>
  <c r="G34" i="8"/>
  <c r="G14" i="8"/>
  <c r="G157" i="8"/>
  <c r="G145" i="8"/>
  <c r="G133" i="8"/>
  <c r="G121" i="8"/>
  <c r="G109" i="8"/>
  <c r="G97" i="8"/>
  <c r="G85" i="8"/>
  <c r="G73" i="8"/>
  <c r="G61" i="8"/>
  <c r="G49" i="8"/>
  <c r="G37" i="8"/>
  <c r="G25" i="8"/>
  <c r="G13" i="8"/>
  <c r="P7" i="9"/>
  <c r="G156" i="8"/>
  <c r="G144" i="8"/>
  <c r="G132" i="8"/>
  <c r="G120" i="8"/>
  <c r="G108" i="8"/>
  <c r="G96" i="8"/>
  <c r="G84" i="8"/>
  <c r="G72" i="8"/>
  <c r="G60" i="8"/>
  <c r="G48" i="8"/>
  <c r="G36" i="8"/>
  <c r="G24" i="8"/>
  <c r="G12" i="8"/>
  <c r="G164" i="8"/>
  <c r="G152" i="8"/>
  <c r="G140" i="8"/>
  <c r="G128" i="8"/>
  <c r="G116" i="8"/>
  <c r="G104" i="8"/>
  <c r="G92" i="8"/>
  <c r="G80" i="8"/>
  <c r="G68" i="8"/>
  <c r="G56" i="8"/>
  <c r="G44" i="8"/>
  <c r="G32" i="8"/>
  <c r="G20" i="8"/>
  <c r="G8" i="8"/>
  <c r="G163" i="8"/>
  <c r="G151" i="8"/>
  <c r="G139" i="8"/>
  <c r="G127" i="8"/>
  <c r="G115" i="8"/>
  <c r="G103" i="8"/>
  <c r="G91" i="8"/>
  <c r="G79" i="8"/>
  <c r="G67" i="8"/>
  <c r="G55" i="8"/>
  <c r="G43" i="8"/>
  <c r="G31" i="8"/>
  <c r="G19" i="8"/>
  <c r="G7" i="8"/>
  <c r="G162" i="8"/>
  <c r="G150" i="8"/>
  <c r="G138" i="8"/>
  <c r="G126" i="8"/>
  <c r="G114" i="8"/>
  <c r="G102" i="8"/>
  <c r="G90" i="8"/>
  <c r="G78" i="8"/>
  <c r="G66" i="8"/>
  <c r="G54" i="8"/>
  <c r="G42" i="8"/>
  <c r="G30" i="8"/>
  <c r="G18" i="8"/>
  <c r="J164" i="8" l="1"/>
  <c r="F163" i="8"/>
  <c r="F162" i="8"/>
  <c r="J105" i="8"/>
  <c r="J162" i="8"/>
  <c r="J161" i="8"/>
  <c r="F164" i="8"/>
  <c r="F161" i="8"/>
  <c r="J165" i="8"/>
  <c r="J163" i="8"/>
  <c r="F165" i="8"/>
  <c r="J80" i="8"/>
  <c r="J98" i="8"/>
  <c r="J149" i="8"/>
  <c r="J117" i="8"/>
  <c r="J49" i="8"/>
  <c r="J17" i="8"/>
  <c r="J110" i="8"/>
  <c r="J92" i="8"/>
  <c r="J73" i="8"/>
  <c r="J159" i="8"/>
  <c r="J36" i="8"/>
  <c r="J85" i="8"/>
  <c r="J47" i="8"/>
  <c r="J116" i="8"/>
  <c r="J97" i="8"/>
  <c r="J128" i="8"/>
  <c r="J109" i="8"/>
  <c r="J95" i="8"/>
  <c r="J21" i="8"/>
  <c r="J103" i="8"/>
  <c r="J70" i="8"/>
  <c r="J28" i="8"/>
  <c r="J119" i="8"/>
  <c r="J78" i="8"/>
  <c r="J115" i="8"/>
  <c r="J82" i="8"/>
  <c r="J40" i="8"/>
  <c r="J57" i="8"/>
  <c r="J60" i="8"/>
  <c r="J50" i="8"/>
  <c r="J3" i="8"/>
  <c r="J102" i="8"/>
  <c r="J69" i="8"/>
  <c r="J106" i="8"/>
  <c r="J72" i="8"/>
  <c r="J62" i="8"/>
  <c r="J48" i="8"/>
  <c r="J114" i="8"/>
  <c r="J150" i="8"/>
  <c r="J81" i="8"/>
  <c r="J118" i="8"/>
  <c r="J61" i="8"/>
  <c r="J134" i="8"/>
  <c r="J10" i="8"/>
  <c r="J129" i="8"/>
  <c r="J107" i="8"/>
  <c r="J37" i="8"/>
  <c r="J67" i="8"/>
  <c r="J104" i="8"/>
  <c r="J131" i="8"/>
  <c r="J160" i="8"/>
  <c r="J79" i="8"/>
  <c r="J46" i="8"/>
  <c r="J154" i="8"/>
  <c r="J71" i="8"/>
  <c r="J9" i="8"/>
  <c r="J91" i="8"/>
  <c r="J58" i="8"/>
  <c r="J15" i="8"/>
  <c r="J139" i="8"/>
  <c r="J27" i="8"/>
  <c r="J45" i="8"/>
  <c r="J38" i="8"/>
  <c r="J142" i="8"/>
  <c r="J90" i="8"/>
  <c r="J127" i="8"/>
  <c r="J94" i="8"/>
  <c r="J74" i="8"/>
  <c r="J16" i="8"/>
  <c r="J126" i="8"/>
  <c r="J56" i="8"/>
  <c r="J93" i="8"/>
  <c r="J39" i="8"/>
  <c r="J86" i="8"/>
  <c r="J144" i="8"/>
  <c r="J138" i="8"/>
  <c r="J68" i="8"/>
  <c r="J6" i="8"/>
  <c r="J29" i="8"/>
  <c r="J41" i="8"/>
  <c r="J43" i="8"/>
  <c r="J89" i="8"/>
  <c r="J137" i="8"/>
  <c r="J51" i="8"/>
  <c r="J99" i="8"/>
  <c r="J146" i="8"/>
  <c r="J52" i="8"/>
  <c r="J100" i="8"/>
  <c r="J147" i="8"/>
  <c r="J53" i="8"/>
  <c r="J101" i="8"/>
  <c r="J148" i="8"/>
  <c r="J7" i="8"/>
  <c r="J63" i="8"/>
  <c r="J111" i="8"/>
  <c r="J158" i="8"/>
  <c r="J8" i="8"/>
  <c r="J64" i="8"/>
  <c r="J112" i="8"/>
  <c r="J2" i="8"/>
  <c r="J65" i="8"/>
  <c r="J19" i="8"/>
  <c r="J20" i="8"/>
  <c r="J77" i="8"/>
  <c r="J87" i="8"/>
  <c r="J88" i="8"/>
  <c r="J18" i="8"/>
  <c r="J113" i="8"/>
  <c r="F159" i="8"/>
  <c r="J75" i="8"/>
  <c r="J123" i="8"/>
  <c r="J76" i="8"/>
  <c r="J124" i="8"/>
  <c r="J30" i="8"/>
  <c r="J125" i="8"/>
  <c r="J31" i="8"/>
  <c r="J135" i="8"/>
  <c r="J42" i="8"/>
  <c r="J136" i="8"/>
  <c r="J96" i="8"/>
  <c r="J121" i="8"/>
  <c r="J122" i="8"/>
  <c r="J84" i="8"/>
  <c r="J32" i="8"/>
  <c r="J22" i="8"/>
  <c r="J11" i="8"/>
  <c r="J151" i="8"/>
  <c r="J140" i="8"/>
  <c r="J130" i="8"/>
  <c r="J26" i="8"/>
  <c r="J120" i="8"/>
  <c r="J133" i="8"/>
  <c r="J145" i="8"/>
  <c r="J108" i="8"/>
  <c r="J44" i="8"/>
  <c r="J33" i="8"/>
  <c r="J23" i="8"/>
  <c r="J12" i="8"/>
  <c r="J152" i="8"/>
  <c r="J141" i="8"/>
  <c r="J59" i="8"/>
  <c r="J143" i="8"/>
  <c r="J156" i="8"/>
  <c r="J157" i="8"/>
  <c r="J132" i="8"/>
  <c r="J54" i="8"/>
  <c r="J34" i="8"/>
  <c r="J24" i="8"/>
  <c r="J13" i="8"/>
  <c r="J153" i="8"/>
  <c r="J83" i="8"/>
  <c r="J4" i="8"/>
  <c r="J5" i="8"/>
  <c r="J14" i="8"/>
  <c r="J155" i="8"/>
  <c r="J66" i="8"/>
  <c r="J55" i="8"/>
  <c r="J35" i="8"/>
  <c r="J25" i="8"/>
  <c r="F160" i="8"/>
  <c r="F83" i="8"/>
  <c r="U6" i="9"/>
  <c r="F76" i="8"/>
  <c r="F47" i="8"/>
  <c r="F107" i="8"/>
  <c r="F81" i="8"/>
  <c r="F95" i="8"/>
  <c r="F149" i="8"/>
  <c r="F105" i="8"/>
  <c r="F10" i="8"/>
  <c r="F158" i="8"/>
  <c r="F58" i="8"/>
  <c r="F117" i="8"/>
  <c r="F53" i="8"/>
  <c r="F153" i="8"/>
  <c r="F59" i="8"/>
  <c r="F87" i="8"/>
  <c r="F109" i="8"/>
  <c r="F123" i="8"/>
  <c r="F127" i="8"/>
  <c r="F71" i="8"/>
  <c r="F155" i="8"/>
  <c r="F57" i="8"/>
  <c r="F70" i="8"/>
  <c r="F93" i="8"/>
  <c r="F24" i="8"/>
  <c r="F7" i="8"/>
  <c r="F18" i="8"/>
  <c r="F8" i="8"/>
  <c r="F35" i="8"/>
  <c r="F154" i="8"/>
  <c r="F100" i="8"/>
  <c r="F45" i="8"/>
  <c r="F6" i="8"/>
  <c r="F124" i="8"/>
  <c r="F101" i="8"/>
  <c r="F128" i="8"/>
  <c r="F55" i="8"/>
  <c r="F30" i="8"/>
  <c r="F69" i="8"/>
  <c r="F104" i="8"/>
  <c r="F113" i="8"/>
  <c r="F138" i="8"/>
  <c r="F40" i="8"/>
  <c r="F102" i="8"/>
  <c r="F3" i="8"/>
  <c r="F37" i="8"/>
  <c r="F103" i="8"/>
  <c r="F156" i="8"/>
  <c r="F19" i="8"/>
  <c r="F94" i="8"/>
  <c r="F60" i="8"/>
  <c r="F146" i="8"/>
  <c r="F20" i="8"/>
  <c r="F90" i="8"/>
  <c r="F48" i="8"/>
  <c r="F80" i="8"/>
  <c r="F157" i="8"/>
  <c r="F41" i="8"/>
  <c r="F51" i="8"/>
  <c r="F137" i="8"/>
  <c r="F68" i="8"/>
  <c r="F145" i="8"/>
  <c r="F62" i="8"/>
  <c r="F67" i="8"/>
  <c r="F17" i="8"/>
  <c r="F148" i="8"/>
  <c r="F114" i="8"/>
  <c r="F92" i="8"/>
  <c r="F116" i="8"/>
  <c r="F12" i="8"/>
  <c r="F72" i="8"/>
  <c r="F13" i="8"/>
  <c r="F25" i="8"/>
  <c r="F34" i="8"/>
  <c r="F56" i="8"/>
  <c r="F66" i="8"/>
  <c r="F77" i="8"/>
  <c r="F88" i="8"/>
  <c r="F133" i="8"/>
  <c r="F144" i="8"/>
  <c r="F136" i="8"/>
  <c r="F73" i="8"/>
  <c r="F98" i="8"/>
  <c r="F23" i="8"/>
  <c r="F52" i="8"/>
  <c r="F75" i="8"/>
  <c r="F108" i="8"/>
  <c r="F131" i="8"/>
  <c r="F32" i="8"/>
  <c r="F54" i="8"/>
  <c r="F84" i="8"/>
  <c r="F110" i="8"/>
  <c r="F139" i="8"/>
  <c r="F64" i="8"/>
  <c r="F86" i="8"/>
  <c r="F11" i="8"/>
  <c r="F120" i="8"/>
  <c r="F142" i="8"/>
  <c r="F42" i="8"/>
  <c r="F121" i="8"/>
  <c r="F150" i="8"/>
  <c r="F43" i="8"/>
  <c r="F96" i="8"/>
  <c r="F122" i="8"/>
  <c r="F151" i="8"/>
  <c r="F21" i="8"/>
  <c r="F44" i="8"/>
  <c r="F97" i="8"/>
  <c r="F152" i="8"/>
  <c r="F63" i="8"/>
  <c r="F118" i="8"/>
  <c r="F9" i="8"/>
  <c r="F85" i="8"/>
  <c r="F140" i="8"/>
  <c r="F78" i="8"/>
  <c r="F91" i="8"/>
  <c r="F79" i="8"/>
  <c r="F4" i="8"/>
  <c r="F39" i="8"/>
  <c r="F125" i="8"/>
  <c r="F99" i="8"/>
  <c r="F126" i="8"/>
  <c r="F106" i="8"/>
  <c r="F135" i="8"/>
  <c r="F89" i="8"/>
  <c r="F28" i="8"/>
  <c r="F115" i="8"/>
  <c r="F16" i="8"/>
  <c r="F61" i="8"/>
  <c r="F134" i="8"/>
  <c r="F111" i="8"/>
  <c r="F147" i="8"/>
  <c r="F141" i="8"/>
  <c r="F112" i="8"/>
  <c r="F31" i="8"/>
  <c r="F14" i="8"/>
  <c r="F27" i="8"/>
  <c r="F15" i="8"/>
  <c r="F29" i="8"/>
  <c r="F5" i="8"/>
  <c r="F132" i="8"/>
  <c r="F33" i="8"/>
  <c r="F50" i="8"/>
  <c r="F129" i="8"/>
  <c r="F22" i="8"/>
  <c r="F119" i="8"/>
  <c r="F26" i="8"/>
  <c r="F46" i="8"/>
  <c r="F36" i="8"/>
  <c r="F49" i="8"/>
  <c r="F38" i="8"/>
  <c r="F143" i="8"/>
  <c r="F82" i="8"/>
  <c r="F130" i="8"/>
  <c r="F74" i="8"/>
  <c r="F65" i="8"/>
  <c r="AB11" i="9" l="1"/>
  <c r="R11" i="9"/>
  <c r="AB15" i="9"/>
  <c r="M11" i="9"/>
  <c r="S11" i="9"/>
  <c r="L21" i="9"/>
  <c r="V21" i="9"/>
  <c r="R21" i="9"/>
  <c r="U21" i="9"/>
  <c r="AC11" i="9"/>
  <c r="Q11" i="9"/>
  <c r="AE21" i="9"/>
  <c r="K21" i="9"/>
  <c r="X21" i="9"/>
  <c r="W21" i="9"/>
  <c r="AG21" i="9"/>
  <c r="AA11" i="9"/>
  <c r="AB21" i="9"/>
  <c r="N21" i="9"/>
  <c r="AC21" i="9"/>
  <c r="K11" i="9"/>
  <c r="AJ21" i="9"/>
  <c r="T21" i="9"/>
  <c r="Z21" i="9"/>
  <c r="Y21" i="9"/>
  <c r="M21" i="9"/>
  <c r="S21" i="9"/>
  <c r="W11" i="9"/>
  <c r="AD21" i="9"/>
  <c r="L11" i="9"/>
  <c r="O11" i="9"/>
  <c r="P21" i="9"/>
  <c r="AI21" i="9"/>
  <c r="AD11" i="9"/>
  <c r="Q21" i="9"/>
  <c r="AF21" i="9"/>
  <c r="O21" i="9"/>
  <c r="T11" i="9"/>
  <c r="Y11" i="9"/>
  <c r="AH21" i="9"/>
  <c r="U11" i="9"/>
  <c r="P11" i="9"/>
  <c r="V11" i="9"/>
  <c r="Z11" i="9"/>
  <c r="K22" i="9" l="1"/>
  <c r="C17" i="9" l="1"/>
  <c r="F2" i="8"/>
  <c r="K17" i="9" l="1"/>
  <c r="X11" i="9"/>
  <c r="N11" i="9"/>
  <c r="K12" i="9" l="1"/>
  <c r="C16"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<sst xmlns="http://schemas.openxmlformats.org/spreadsheetml/2006/main" count="2218" uniqueCount="390">
  <si>
    <t>Review</t>
  </si>
  <si>
    <t>Class</t>
  </si>
  <si>
    <t>This book is perfect!  I'm a first time new mom, and this book made it so easy to keep track of feedings, diaper changes, sleep.  Definitely would recommend this for new moms.  Plus it's small enough that I throw in the diaper back for doctor visits.</t>
  </si>
  <si>
    <t>I use this so that our babysitter (grandma) can keep track of what goes on during the day.  We've recorded so many milestones since we received this.  I'll definitely get another one in 6 months when we finish this book.</t>
  </si>
  <si>
    <t>I have used this book since my son was born.  It's a great and handy way to keep track of when and how much eats and when I change his diaper.  Makes it easy to discuss his progress with his doctor.  This journal is great for his grandparents who watch him while I'm gone.  Highly recommend this journal for all parents of children especially for those with little ones under a year of age.</t>
  </si>
  <si>
    <t>My friend recommended this teether because her daughter loves it.  However, my daughter loves throwing it on the floor.  Hopefully, it will work better for you.</t>
  </si>
  <si>
    <t>Don't waste your money, my son would rather suck on his fingers than to use this messaging corn teether.  The massager really has to be squeezed in order to work.</t>
  </si>
  <si>
    <t>This is the best way to keep track of when your baby eats, sleeps, poops, gets a bath, etc. It's also a great way to keep track of which side baby nursed on. I took this to all infant doc appt. And it's a great gift!</t>
  </si>
  <si>
    <t>Inside is not nice and clean. All in all, it does not what is advertised and keeps us sane on what was done/changed when.</t>
  </si>
  <si>
    <t>We bought these trucks for our 15 month. old daughter and 4 mo. old son- We love them!  They are nesting which is fun for our daughter to look underneath the trucks to find the next one or they can stack one on top of the other to make a tower.  Perfect first trucks!  And they aren't too big- a perfect size!</t>
  </si>
  <si>
    <t>My son's therapist brings this toy over and he just loves it.  He loves to move the ladder on the fire truck up and down.  This is one of his favorite toys and he doesn't play with a lot of baby and toddler toys (gets bored easy).</t>
  </si>
  <si>
    <t>?</t>
  </si>
  <si>
    <t>The layout of the hours are a little tricky.  The print on each page is a light grey, so trying to journal diapers, bottles, meds in the middle of the night is a challenge.  I could not use the space to make more notes and comment on something cute that day.</t>
  </si>
  <si>
    <t>This</t>
  </si>
  <si>
    <t>book</t>
  </si>
  <si>
    <t>is</t>
  </si>
  <si>
    <t>perfect!</t>
  </si>
  <si>
    <t>I'm</t>
  </si>
  <si>
    <t>a</t>
  </si>
  <si>
    <t>first</t>
  </si>
  <si>
    <t>time</t>
  </si>
  <si>
    <t>new</t>
  </si>
  <si>
    <t>mom,</t>
  </si>
  <si>
    <t>and</t>
  </si>
  <si>
    <t>this</t>
  </si>
  <si>
    <t>made</t>
  </si>
  <si>
    <t>it</t>
  </si>
  <si>
    <t>so</t>
  </si>
  <si>
    <t>easy</t>
  </si>
  <si>
    <t>to</t>
  </si>
  <si>
    <t>keep</t>
  </si>
  <si>
    <t>track</t>
  </si>
  <si>
    <t>of</t>
  </si>
  <si>
    <t>feedings,</t>
  </si>
  <si>
    <t>diaper</t>
  </si>
  <si>
    <t>changes,</t>
  </si>
  <si>
    <t>sleep.</t>
  </si>
  <si>
    <t>Definitely</t>
  </si>
  <si>
    <t>would</t>
  </si>
  <si>
    <t>recommend</t>
  </si>
  <si>
    <t>for</t>
  </si>
  <si>
    <t>moms.</t>
  </si>
  <si>
    <t>Plus</t>
  </si>
  <si>
    <t>it's</t>
  </si>
  <si>
    <t>small</t>
  </si>
  <si>
    <t>enough</t>
  </si>
  <si>
    <t>that</t>
  </si>
  <si>
    <t>I</t>
  </si>
  <si>
    <t>throw</t>
  </si>
  <si>
    <t>in</t>
  </si>
  <si>
    <t>the</t>
  </si>
  <si>
    <t>back</t>
  </si>
  <si>
    <t>doctor</t>
  </si>
  <si>
    <t>visits.</t>
  </si>
  <si>
    <t>D1</t>
  </si>
  <si>
    <t>D2</t>
  </si>
  <si>
    <t>use</t>
  </si>
  <si>
    <t>our</t>
  </si>
  <si>
    <t>babysitter</t>
  </si>
  <si>
    <t>(grandma)</t>
  </si>
  <si>
    <t>can</t>
  </si>
  <si>
    <t>what</t>
  </si>
  <si>
    <t>goes</t>
  </si>
  <si>
    <t>on</t>
  </si>
  <si>
    <t>during</t>
  </si>
  <si>
    <t>day.</t>
  </si>
  <si>
    <t>We've</t>
  </si>
  <si>
    <t>recorded</t>
  </si>
  <si>
    <t>many</t>
  </si>
  <si>
    <t>milestones</t>
  </si>
  <si>
    <t>since</t>
  </si>
  <si>
    <t>we</t>
  </si>
  <si>
    <t>received</t>
  </si>
  <si>
    <t>this.</t>
  </si>
  <si>
    <t>I'll</t>
  </si>
  <si>
    <t>definitely</t>
  </si>
  <si>
    <t>get</t>
  </si>
  <si>
    <t>another</t>
  </si>
  <si>
    <t>one</t>
  </si>
  <si>
    <t>months</t>
  </si>
  <si>
    <t>when</t>
  </si>
  <si>
    <t>finish</t>
  </si>
  <si>
    <t>book.</t>
  </si>
  <si>
    <t>D3</t>
  </si>
  <si>
    <t>have</t>
  </si>
  <si>
    <t>used</t>
  </si>
  <si>
    <t>my</t>
  </si>
  <si>
    <t>son</t>
  </si>
  <si>
    <t>was</t>
  </si>
  <si>
    <t>born.</t>
  </si>
  <si>
    <t>It's</t>
  </si>
  <si>
    <t>great</t>
  </si>
  <si>
    <t>handy</t>
  </si>
  <si>
    <t>way</t>
  </si>
  <si>
    <t>how</t>
  </si>
  <si>
    <t>much</t>
  </si>
  <si>
    <t>eats</t>
  </si>
  <si>
    <t>change</t>
  </si>
  <si>
    <t>his</t>
  </si>
  <si>
    <t>diaper.</t>
  </si>
  <si>
    <t>Makes</t>
  </si>
  <si>
    <t>discuss</t>
  </si>
  <si>
    <t>progress</t>
  </si>
  <si>
    <t>with</t>
  </si>
  <si>
    <t>doctor.</t>
  </si>
  <si>
    <t>journal</t>
  </si>
  <si>
    <t>grandparents</t>
  </si>
  <si>
    <t>who</t>
  </si>
  <si>
    <t>watch</t>
  </si>
  <si>
    <t>him</t>
  </si>
  <si>
    <t>while</t>
  </si>
  <si>
    <t>gone.</t>
  </si>
  <si>
    <t>Highly</t>
  </si>
  <si>
    <t>all</t>
  </si>
  <si>
    <t>parents</t>
  </si>
  <si>
    <t>children</t>
  </si>
  <si>
    <t>especially</t>
  </si>
  <si>
    <t>those</t>
  </si>
  <si>
    <t>little</t>
  </si>
  <si>
    <t>ones</t>
  </si>
  <si>
    <t>under</t>
  </si>
  <si>
    <t>year</t>
  </si>
  <si>
    <t>age.</t>
  </si>
  <si>
    <t>D4</t>
  </si>
  <si>
    <t>D5</t>
  </si>
  <si>
    <t>D6</t>
  </si>
  <si>
    <t>D7</t>
  </si>
  <si>
    <t>D8</t>
  </si>
  <si>
    <t>D9</t>
  </si>
  <si>
    <t>D10</t>
  </si>
  <si>
    <t>My</t>
  </si>
  <si>
    <t>friend</t>
  </si>
  <si>
    <t>recommended</t>
  </si>
  <si>
    <t>teether</t>
  </si>
  <si>
    <t>because</t>
  </si>
  <si>
    <t>her</t>
  </si>
  <si>
    <t>daughter</t>
  </si>
  <si>
    <t>loves</t>
  </si>
  <si>
    <t>it.</t>
  </si>
  <si>
    <t>However,</t>
  </si>
  <si>
    <t>throwing</t>
  </si>
  <si>
    <t>floor.</t>
  </si>
  <si>
    <t>Hopefully,</t>
  </si>
  <si>
    <t>will</t>
  </si>
  <si>
    <t>work</t>
  </si>
  <si>
    <t>better</t>
  </si>
  <si>
    <t>you.</t>
  </si>
  <si>
    <t>Don't</t>
  </si>
  <si>
    <t>waste</t>
  </si>
  <si>
    <t>your</t>
  </si>
  <si>
    <t>money,</t>
  </si>
  <si>
    <t>rather</t>
  </si>
  <si>
    <t>suck</t>
  </si>
  <si>
    <t>fingers</t>
  </si>
  <si>
    <t>than</t>
  </si>
  <si>
    <t>messaging</t>
  </si>
  <si>
    <t>corn</t>
  </si>
  <si>
    <t>teether.</t>
  </si>
  <si>
    <t>The</t>
  </si>
  <si>
    <t>massager</t>
  </si>
  <si>
    <t>really</t>
  </si>
  <si>
    <t>has</t>
  </si>
  <si>
    <t>be</t>
  </si>
  <si>
    <t>squeezed</t>
  </si>
  <si>
    <t>order</t>
  </si>
  <si>
    <t>work.</t>
  </si>
  <si>
    <t>best</t>
  </si>
  <si>
    <t>baby</t>
  </si>
  <si>
    <t>eats,</t>
  </si>
  <si>
    <t>sleeps,</t>
  </si>
  <si>
    <t>poops,</t>
  </si>
  <si>
    <t>gets</t>
  </si>
  <si>
    <t>etc.</t>
  </si>
  <si>
    <t>also</t>
  </si>
  <si>
    <t>which</t>
  </si>
  <si>
    <t>side</t>
  </si>
  <si>
    <t>nursed</t>
  </si>
  <si>
    <t>on.</t>
  </si>
  <si>
    <t>took</t>
  </si>
  <si>
    <t>infant</t>
  </si>
  <si>
    <t>doc</t>
  </si>
  <si>
    <t>appt.</t>
  </si>
  <si>
    <t>And</t>
  </si>
  <si>
    <t>gift!</t>
  </si>
  <si>
    <t>Inside</t>
  </si>
  <si>
    <t>not</t>
  </si>
  <si>
    <t>nice</t>
  </si>
  <si>
    <t>clean.</t>
  </si>
  <si>
    <t>All</t>
  </si>
  <si>
    <t>all,</t>
  </si>
  <si>
    <t>does</t>
  </si>
  <si>
    <t>advertised</t>
  </si>
  <si>
    <t>keeps</t>
  </si>
  <si>
    <t>us</t>
  </si>
  <si>
    <t>sane</t>
  </si>
  <si>
    <t>We</t>
  </si>
  <si>
    <t>bought</t>
  </si>
  <si>
    <t>these</t>
  </si>
  <si>
    <t>trucks</t>
  </si>
  <si>
    <t>month.</t>
  </si>
  <si>
    <t>old</t>
  </si>
  <si>
    <t>mo.</t>
  </si>
  <si>
    <t>son-</t>
  </si>
  <si>
    <t>love</t>
  </si>
  <si>
    <t>They</t>
  </si>
  <si>
    <t>are</t>
  </si>
  <si>
    <t>nesting</t>
  </si>
  <si>
    <t>fun</t>
  </si>
  <si>
    <t>look</t>
  </si>
  <si>
    <t>underneath</t>
  </si>
  <si>
    <t>find</t>
  </si>
  <si>
    <t>next</t>
  </si>
  <si>
    <t>or</t>
  </si>
  <si>
    <t>they</t>
  </si>
  <si>
    <t>stack</t>
  </si>
  <si>
    <t>top</t>
  </si>
  <si>
    <t>other</t>
  </si>
  <si>
    <t>make</t>
  </si>
  <si>
    <t>tower.</t>
  </si>
  <si>
    <t>Perfect</t>
  </si>
  <si>
    <t>trucks!</t>
  </si>
  <si>
    <t>aren't</t>
  </si>
  <si>
    <t>too</t>
  </si>
  <si>
    <t>big-</t>
  </si>
  <si>
    <t>perfect</t>
  </si>
  <si>
    <t>size!</t>
  </si>
  <si>
    <t>son's</t>
  </si>
  <si>
    <t>therapist</t>
  </si>
  <si>
    <t>brings</t>
  </si>
  <si>
    <t>toy</t>
  </si>
  <si>
    <t>over</t>
  </si>
  <si>
    <t>he</t>
  </si>
  <si>
    <t>just</t>
  </si>
  <si>
    <t>He</t>
  </si>
  <si>
    <t>move</t>
  </si>
  <si>
    <t>ladder</t>
  </si>
  <si>
    <t>fire</t>
  </si>
  <si>
    <t>truck</t>
  </si>
  <si>
    <t>up</t>
  </si>
  <si>
    <t>down.</t>
  </si>
  <si>
    <t>favorite</t>
  </si>
  <si>
    <t>toys</t>
  </si>
  <si>
    <t>doesn't</t>
  </si>
  <si>
    <t>play</t>
  </si>
  <si>
    <t>lot</t>
  </si>
  <si>
    <t>toddler</t>
  </si>
  <si>
    <t>(gets</t>
  </si>
  <si>
    <t>bored</t>
  </si>
  <si>
    <t>easy).</t>
  </si>
  <si>
    <t>layout</t>
  </si>
  <si>
    <t>hours</t>
  </si>
  <si>
    <t>tricky.</t>
  </si>
  <si>
    <t>print</t>
  </si>
  <si>
    <t>each</t>
  </si>
  <si>
    <t>page</t>
  </si>
  <si>
    <t>light</t>
  </si>
  <si>
    <t>trying</t>
  </si>
  <si>
    <t>diapers,</t>
  </si>
  <si>
    <t>bottles,</t>
  </si>
  <si>
    <t>meds</t>
  </si>
  <si>
    <t>middle</t>
  </si>
  <si>
    <t>night</t>
  </si>
  <si>
    <t>challenge.</t>
  </si>
  <si>
    <t>could</t>
  </si>
  <si>
    <t>space</t>
  </si>
  <si>
    <t>more</t>
  </si>
  <si>
    <t>notes</t>
  </si>
  <si>
    <t>comment</t>
  </si>
  <si>
    <t>something</t>
  </si>
  <si>
    <t>cute</t>
  </si>
  <si>
    <t>DOCUMENT</t>
  </si>
  <si>
    <t>DOC.NO</t>
  </si>
  <si>
    <t>TOTAL WORD COUNT</t>
  </si>
  <si>
    <t>Dont</t>
  </si>
  <si>
    <t>Im</t>
  </si>
  <si>
    <t>its</t>
  </si>
  <si>
    <t>Weve</t>
  </si>
  <si>
    <t>Ill</t>
  </si>
  <si>
    <t>Its</t>
  </si>
  <si>
    <t>arent</t>
  </si>
  <si>
    <t>sons</t>
  </si>
  <si>
    <t>doesnt</t>
  </si>
  <si>
    <t>changes</t>
  </si>
  <si>
    <t>However</t>
  </si>
  <si>
    <t>Hopefully</t>
  </si>
  <si>
    <t>money</t>
  </si>
  <si>
    <t>sleeps</t>
  </si>
  <si>
    <t>poops</t>
  </si>
  <si>
    <t>bath</t>
  </si>
  <si>
    <t>grey</t>
  </si>
  <si>
    <t>diapers</t>
  </si>
  <si>
    <t>bottles</t>
  </si>
  <si>
    <t>mom</t>
  </si>
  <si>
    <t>feedings</t>
  </si>
  <si>
    <t>gift</t>
  </si>
  <si>
    <t>them</t>
  </si>
  <si>
    <t>size</t>
  </si>
  <si>
    <t>sleep</t>
  </si>
  <si>
    <t>moms</t>
  </si>
  <si>
    <t>visits</t>
  </si>
  <si>
    <t>day</t>
  </si>
  <si>
    <t>born</t>
  </si>
  <si>
    <t>gone</t>
  </si>
  <si>
    <t>age</t>
  </si>
  <si>
    <t>floor</t>
  </si>
  <si>
    <t>you</t>
  </si>
  <si>
    <t>etc</t>
  </si>
  <si>
    <t>appt</t>
  </si>
  <si>
    <t>clean</t>
  </si>
  <si>
    <t>month</t>
  </si>
  <si>
    <t>mo</t>
  </si>
  <si>
    <t>tower</t>
  </si>
  <si>
    <t>down</t>
  </si>
  <si>
    <t>tricky</t>
  </si>
  <si>
    <t>challenge</t>
  </si>
  <si>
    <t>grandma</t>
  </si>
  <si>
    <t>DOC N0</t>
  </si>
  <si>
    <t>done</t>
  </si>
  <si>
    <t>changed</t>
  </si>
  <si>
    <t>STEP-1 :Tokenization</t>
  </si>
  <si>
    <t>big</t>
  </si>
  <si>
    <t>STEP-2:Punctual Removal(removed . , ! ( ) ' -)</t>
  </si>
  <si>
    <t>however</t>
  </si>
  <si>
    <t>plus</t>
  </si>
  <si>
    <t>highly</t>
  </si>
  <si>
    <t>hopefully</t>
  </si>
  <si>
    <t>dont</t>
  </si>
  <si>
    <t>inside</t>
  </si>
  <si>
    <t>STEP-3:Stop word Removal</t>
  </si>
  <si>
    <t>STEP-4:Lemmatization</t>
  </si>
  <si>
    <t>visit</t>
  </si>
  <si>
    <t>eat</t>
  </si>
  <si>
    <t>poop</t>
  </si>
  <si>
    <t>finger</t>
  </si>
  <si>
    <t>advertise</t>
  </si>
  <si>
    <t>squeeze</t>
  </si>
  <si>
    <t>nurse</t>
  </si>
  <si>
    <t>take</t>
  </si>
  <si>
    <t>bring</t>
  </si>
  <si>
    <t>hour</t>
  </si>
  <si>
    <t>bottle</t>
  </si>
  <si>
    <t>bore</t>
  </si>
  <si>
    <t>record</t>
  </si>
  <si>
    <t>receive</t>
  </si>
  <si>
    <t>feeding</t>
  </si>
  <si>
    <t>definite</t>
  </si>
  <si>
    <t>milestone</t>
  </si>
  <si>
    <t>grandparent</t>
  </si>
  <si>
    <t>parent</t>
  </si>
  <si>
    <t>message</t>
  </si>
  <si>
    <t>WORDS IN CLASS1</t>
  </si>
  <si>
    <t>WORD COUNT IN CLASS 1</t>
  </si>
  <si>
    <t>TOTAL WORD IN C1</t>
  </si>
  <si>
    <t>UNIQUE WORD</t>
  </si>
  <si>
    <t>WORD COUNT IN CLASS 0</t>
  </si>
  <si>
    <t>TOTAL WORD IN C0</t>
  </si>
  <si>
    <t>LIKELIHOOD IN CLASS C1</t>
  </si>
  <si>
    <t>LIKELIHOOD IN CLASS C0</t>
  </si>
  <si>
    <t>DOC NO</t>
  </si>
  <si>
    <t>U NIQUE WORD</t>
  </si>
  <si>
    <t>D4 - CLASS 0</t>
  </si>
  <si>
    <t xml:space="preserve">D1 </t>
  </si>
  <si>
    <t>CLASS</t>
  </si>
  <si>
    <t>Posterior probability computation</t>
  </si>
  <si>
    <t>P(C1)</t>
  </si>
  <si>
    <t>P(C0)</t>
  </si>
  <si>
    <t>NO OF  DOCUMENT IN CLASS 1 /TOTAL NO OF DOCUMENTS IN CLASS 1 AND 0</t>
  </si>
  <si>
    <t>NO OF  DOCUMENT IN CLASS 0 /TOTAL NO OF DOCUMENTS IN CLASS 1 AND 0</t>
  </si>
  <si>
    <t>P(C1/D9)</t>
  </si>
  <si>
    <t>TOTAL WORDSIN C1</t>
  </si>
  <si>
    <t>TOTAL WORDSIN C0</t>
  </si>
  <si>
    <t>P(W/C1)</t>
  </si>
  <si>
    <t>UNIQUE WORD COUNT</t>
  </si>
  <si>
    <t>P(C0/D9)</t>
  </si>
  <si>
    <t>P(W/C0)</t>
  </si>
  <si>
    <t>C0</t>
  </si>
  <si>
    <t>P(C1/D10)</t>
  </si>
  <si>
    <t>P(C0/D10)</t>
  </si>
  <si>
    <t>C1</t>
  </si>
  <si>
    <t>DESIRED CLASS</t>
  </si>
  <si>
    <t>SOLUTION</t>
  </si>
  <si>
    <t>Prior probability computation:</t>
  </si>
  <si>
    <t>buy</t>
  </si>
  <si>
    <t>likelihood</t>
  </si>
  <si>
    <t>note</t>
  </si>
  <si>
    <t>med</t>
  </si>
  <si>
    <t>good</t>
  </si>
  <si>
    <t>do</t>
  </si>
  <si>
    <t>appointment</t>
  </si>
  <si>
    <t>(3/6)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</si>
</sst>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rgb="FF000000"/>
      <name val="Times New Roman"/>
      <family val="1"/>
    </font>
    <font>
      <sz val="12"/>
      <color rgb="FF000000"/>
      <name val="Times New Roman"/>
      <family val="1"/>
    </font>
    <font>
      <b/>
      <sz val="12"/>
      <color rgb="FF000000"/>
      <name val="Times New Roman"/>
      <family val="1"/>
    </font>
    <font>
      <sz val="8"/>
      <name val="Aptos Narrow"/>
      <family val="2"/>
      <scheme val="minor"/>
    </font>
    <font>
      <b/>
      <sz val="16"/>
      <color theme="1"/>
      <name val="Aptos Narrow"/>
      <family val="2"/>
      <scheme val="minor"/>
    </font>
    <font>
      <sz val="18"/>
      <color rgb="FF000000"/>
      <name val="Times New Roman"/>
      <family val="1"/>
    </font>
    <font>
      <sz val="12"/>
      <color theme="1"/>
      <name val="Aptos Display"/>
      <family val="2"/>
    </font>
    <font>
      <b/>
      <sz val="12"/>
      <color theme="1"/>
      <name val="Aptos Display"/>
      <family val="2"/>
    </font>
    <font>
      <sz val="11"/>
      <color rgb="FFFF0000"/>
      <name val="Aptos Narrow"/>
      <family val="2"/>
      <scheme val="minor"/>
    </font>
    <font>
      <b/>
      <sz val="11"/>
      <color theme="1"/>
      <name val="Aptos Narrow"/>
      <family val="2"/>
      <scheme val="minor"/>
    </font>
    <font>
      <b/>
      <sz val="18"/>
      <color theme="1"/>
      <name val="Aptos Narrow"/>
      <family val="2"/>
      <scheme val="minor"/>
    </font>
    <font>
      <b/>
      <sz val="12"/>
      <color theme="1"/>
      <name val="Aptos Narrow"/>
      <family val="2"/>
      <scheme val="minor"/>
    </font>
    <font>
      <sz val="12"/>
      <color theme="1"/>
      <name val="Aptos Narrow"/>
      <family val="2"/>
      <scheme val="minor"/>
    </font>
    <font>
      <sz val="24"/>
      <color rgb="FF000000"/>
      <name val="Times New Roman"/>
      <family val="1"/>
    </font>
    <font>
      <b/>
      <sz val="11"/>
      <color rgb="FFFF0000"/>
      <name val="Aptos Narrow"/>
      <family val="2"/>
      <scheme val="minor"/>
    </font>
    <font>
      <sz val="1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59">
    <xf numFmtId="0" fontId="0" fillId="0" borderId="0" xfId="0"/>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0" fillId="0" borderId="0" xfId="0" applyAlignment="1">
      <alignment horizontal="center"/>
    </xf>
    <xf numFmtId="0" fontId="0" fillId="2" borderId="5" xfId="0" applyFill="1" applyBorder="1" applyAlignment="1">
      <alignment horizontal="center"/>
    </xf>
    <xf numFmtId="0" fontId="8" fillId="2" borderId="5" xfId="0" applyFont="1" applyFill="1" applyBorder="1" applyAlignment="1">
      <alignment horizontal="center" vertical="center"/>
    </xf>
    <xf numFmtId="0" fontId="5" fillId="0" borderId="0" xfId="0" applyFont="1"/>
    <xf numFmtId="0" fontId="0" fillId="0" borderId="5" xfId="0" applyBorder="1" applyAlignment="1">
      <alignment horizontal="center"/>
    </xf>
    <xf numFmtId="0" fontId="1" fillId="0" borderId="5" xfId="0" applyFont="1" applyBorder="1" applyAlignment="1">
      <alignment horizontal="center" vertical="center" wrapText="1"/>
    </xf>
    <xf numFmtId="0" fontId="7" fillId="0" borderId="5" xfId="0" applyFont="1" applyBorder="1" applyAlignment="1">
      <alignment horizontal="center" vertical="center"/>
    </xf>
    <xf numFmtId="0" fontId="3" fillId="2"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1" fillId="0" borderId="5" xfId="0" applyFont="1" applyBorder="1" applyAlignment="1">
      <alignment horizontal="center" wrapText="1"/>
    </xf>
    <xf numFmtId="0" fontId="0" fillId="0" borderId="5" xfId="0" applyBorder="1" applyAlignment="1">
      <alignment horizontal="left" vertical="top"/>
    </xf>
    <xf numFmtId="0" fontId="10" fillId="0" borderId="0" xfId="0" applyFont="1"/>
    <xf numFmtId="0" fontId="0" fillId="0" borderId="5" xfId="0" applyBorder="1"/>
    <xf numFmtId="0" fontId="9" fillId="0" borderId="5" xfId="0" applyFont="1" applyBorder="1"/>
    <xf numFmtId="0" fontId="0" fillId="0" borderId="0" xfId="0" applyAlignment="1">
      <alignment horizontal="left" vertical="top"/>
    </xf>
    <xf numFmtId="0" fontId="3" fillId="0" borderId="0" xfId="0" applyFont="1" applyAlignment="1">
      <alignment horizontal="left" vertical="top" wrapText="1"/>
    </xf>
    <xf numFmtId="0" fontId="9" fillId="0" borderId="5" xfId="0" applyFont="1" applyBorder="1" applyAlignment="1">
      <alignment horizontal="left" vertical="top"/>
    </xf>
    <xf numFmtId="0" fontId="2" fillId="0" borderId="0" xfId="0" applyFont="1" applyAlignment="1">
      <alignment horizontal="left" vertical="top" wrapText="1"/>
    </xf>
    <xf numFmtId="0" fontId="7" fillId="0" borderId="0" xfId="0" applyFont="1" applyAlignment="1">
      <alignment horizontal="left" vertical="top"/>
    </xf>
    <xf numFmtId="0" fontId="9" fillId="0" borderId="0" xfId="0" applyFont="1" applyAlignment="1">
      <alignment horizontal="left" vertical="top"/>
    </xf>
    <xf numFmtId="0" fontId="12" fillId="0" borderId="0" xfId="0" applyFont="1" applyAlignment="1">
      <alignment horizontal="left" vertical="top"/>
    </xf>
    <xf numFmtId="0" fontId="13" fillId="0" borderId="5" xfId="0" applyFont="1" applyBorder="1" applyAlignment="1">
      <alignment horizontal="left" vertical="top"/>
    </xf>
    <xf numFmtId="0" fontId="14" fillId="0" borderId="0" xfId="0" applyFont="1"/>
    <xf numFmtId="0" fontId="0" fillId="3" borderId="5" xfId="0" applyFill="1" applyBorder="1"/>
    <xf numFmtId="0" fontId="0" fillId="3" borderId="0" xfId="0" applyFill="1"/>
    <xf numFmtId="0" fontId="15" fillId="0" borderId="5" xfId="0" applyFont="1" applyBorder="1"/>
    <xf numFmtId="16" fontId="0" fillId="0" borderId="5" xfId="0" applyNumberFormat="1" applyBorder="1"/>
    <xf numFmtId="0" fontId="1" fillId="3" borderId="4" xfId="0" applyFont="1" applyFill="1" applyBorder="1" applyAlignment="1">
      <alignment horizontal="justify" vertical="center" wrapText="1"/>
    </xf>
    <xf numFmtId="0" fontId="6" fillId="0" borderId="0" xfId="0" applyFont="1" applyAlignment="1">
      <alignment horizontal="left" vertical="center" readingOrder="1"/>
    </xf>
    <xf numFmtId="0" fontId="16" fillId="0" borderId="0" xfId="0" applyFont="1"/>
    <xf numFmtId="16" fontId="16" fillId="0" borderId="0" xfId="0" applyNumberFormat="1" applyFont="1"/>
    <xf numFmtId="0" fontId="0" fillId="0" borderId="8" xfId="0" applyBorder="1" applyAlignment="1">
      <alignment horizontal="left" vertical="top"/>
    </xf>
    <xf numFmtId="0" fontId="12" fillId="0" borderId="13" xfId="0" applyFont="1" applyBorder="1" applyAlignment="1">
      <alignment horizontal="left" vertical="top"/>
    </xf>
    <xf numFmtId="0" fontId="12" fillId="0" borderId="7" xfId="0" applyFont="1" applyBorder="1" applyAlignment="1">
      <alignment horizontal="left" vertical="top"/>
    </xf>
    <xf numFmtId="0" fontId="12" fillId="0" borderId="14" xfId="0" applyFont="1" applyBorder="1" applyAlignment="1">
      <alignment horizontal="left" vertical="top"/>
    </xf>
    <xf numFmtId="0" fontId="12" fillId="0" borderId="12" xfId="0" applyFont="1" applyBorder="1" applyAlignment="1">
      <alignment horizontal="center" vertical="top"/>
    </xf>
    <xf numFmtId="0" fontId="13" fillId="0" borderId="9" xfId="0" applyFont="1" applyBorder="1" applyAlignment="1">
      <alignment horizontal="left" vertical="top"/>
    </xf>
    <xf numFmtId="0" fontId="0" fillId="0" borderId="9" xfId="0" applyBorder="1" applyAlignment="1">
      <alignment horizontal="left" vertical="top"/>
    </xf>
    <xf numFmtId="0" fontId="0" fillId="0" borderId="12" xfId="0" applyBorder="1" applyAlignment="1">
      <alignment horizontal="left" vertical="top"/>
    </xf>
    <xf numFmtId="0" fontId="0" fillId="0" borderId="6" xfId="0" applyBorder="1" applyAlignment="1">
      <alignment horizontal="left" vertical="top"/>
    </xf>
    <xf numFmtId="0" fontId="0" fillId="0" borderId="12" xfId="0" applyBorder="1" applyAlignment="1">
      <alignment horizontal="center" vertical="top"/>
    </xf>
    <xf numFmtId="0" fontId="0" fillId="0" borderId="6" xfId="0" applyBorder="1" applyAlignment="1">
      <alignment horizontal="center" vertical="top"/>
    </xf>
    <xf numFmtId="0" fontId="0" fillId="0" borderId="13" xfId="0" applyBorder="1" applyAlignment="1">
      <alignment horizontal="center" vertical="top"/>
    </xf>
    <xf numFmtId="0" fontId="12" fillId="0" borderId="6" xfId="0" applyFont="1" applyBorder="1" applyAlignment="1">
      <alignment horizontal="center" vertical="top"/>
    </xf>
    <xf numFmtId="0" fontId="0" fillId="0" borderId="15" xfId="0" applyBorder="1" applyAlignment="1">
      <alignment horizontal="left" vertical="top"/>
    </xf>
    <xf numFmtId="0" fontId="0" fillId="0" borderId="10" xfId="0" applyBorder="1"/>
    <xf numFmtId="0" fontId="9" fillId="0" borderId="10" xfId="0" applyFont="1" applyBorder="1"/>
    <xf numFmtId="0" fontId="12" fillId="0" borderId="0" xfId="0" applyFont="1" applyAlignment="1">
      <alignment horizontal="center" vertical="top"/>
    </xf>
    <xf numFmtId="0" fontId="13" fillId="0" borderId="0" xfId="0" applyFont="1" applyAlignment="1">
      <alignment horizontal="left" vertical="top"/>
    </xf>
    <xf numFmtId="0" fontId="11" fillId="0" borderId="0" xfId="0" applyFont="1" applyAlignment="1">
      <alignment horizontal="center"/>
    </xf>
    <xf numFmtId="0" fontId="11" fillId="0" borderId="11" xfId="0" applyFont="1" applyBorder="1" applyAlignment="1">
      <alignment horizontal="center"/>
    </xf>
    <xf numFmtId="0" fontId="0" fillId="2" borderId="5" xfId="0" applyFill="1" applyBorder="1" applyAlignment="1">
      <alignment horizontal="center"/>
    </xf>
    <xf numFmtId="0" fontId="12" fillId="0" borderId="0" xfId="0" applyFont="1" applyAlignment="1">
      <alignment horizontal="left" vertical="top"/>
    </xf>
    <xf numFmtId="0" fontId="0" fillId="0" borderId="0" xfId="0" applyBorder="1"/>
  </cellXfs>
  <cellStyles count="1">
    <cellStyle name="Normal" xfId="0" builtinId="0"/>
  </cellStyles>
  <dxfs count="14">
    <dxf>
      <alignment horizontal="left" vertical="top"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ptos Narrow"/>
        <family val="2"/>
        <scheme val="minor"/>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name val="Aptos Narrow"/>
        <family val="2"/>
        <scheme val="minor"/>
      </font>
      <alignment horizontal="center" vertical="top" textRotation="0" wrapText="0"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alignment horizontal="left"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ptos Narrow"/>
        <family val="2"/>
        <scheme val="minor"/>
      </font>
      <alignment horizontal="left"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433552</xdr:colOff>
      <xdr:row>0</xdr:row>
      <xdr:rowOff>183932</xdr:rowOff>
    </xdr:from>
    <xdr:to>
      <xdr:col>14</xdr:col>
      <xdr:colOff>1064174</xdr:colOff>
      <xdr:row>3</xdr:row>
      <xdr:rowOff>183931</xdr:rowOff>
    </xdr:to>
    <xdr:pic>
      <xdr:nvPicPr>
        <xdr:cNvPr id="2" name="Picture 1">
          <a:extLst>
            <a:ext uri="{FF2B5EF4-FFF2-40B4-BE49-F238E27FC236}">
              <a16:creationId xmlns:a16="http://schemas.microsoft.com/office/drawing/2014/main" id="{3F629C2A-3D97-EA5F-D287-E29791F65AAB}"/>
            </a:ext>
          </a:extLst>
        </xdr:cNvPr>
        <xdr:cNvPicPr>
          <a:picLocks noChangeAspect="1"/>
        </xdr:cNvPicPr>
      </xdr:nvPicPr>
      <xdr:blipFill>
        <a:blip xmlns:r="http://schemas.openxmlformats.org/officeDocument/2006/relationships" r:embed="rId1"/>
        <a:stretch>
          <a:fillRect/>
        </a:stretch>
      </xdr:blipFill>
      <xdr:spPr>
        <a:xfrm>
          <a:off x="15515897" y="183932"/>
          <a:ext cx="5491656" cy="5974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236220</xdr:colOff>
      <xdr:row>12</xdr:row>
      <xdr:rowOff>71351</xdr:rowOff>
    </xdr:to>
    <mc:AlternateContent xmlns:mc="http://schemas.openxmlformats.org/markup-compatibility/2006" xmlns:a14="http://schemas.microsoft.com/office/drawing/2010/main">
      <mc:Choice Requires="a14">
        <xdr:sp macro="" textlink="">
          <xdr:nvSpPr>
            <xdr:cNvPr id="2" name="Object 4">
              <a:extLst>
                <a:ext uri="{FF2B5EF4-FFF2-40B4-BE49-F238E27FC236}">
                  <a16:creationId xmlns:a16="http://schemas.microsoft.com/office/drawing/2014/main" id="{7231B0E3-95ED-92D1-C143-D62198564C7C}"/>
                </a:ext>
              </a:extLst>
            </xdr:cNvPr>
            <xdr:cNvSpPr txBox="1"/>
          </xdr:nvSpPr>
          <xdr:spPr bwMode="auto">
            <a:xfrm>
              <a:off x="609600" y="1150620"/>
              <a:ext cx="4503420" cy="1168631"/>
            </a:xfrm>
            <a:prstGeom prst="rect">
              <a:avLst/>
            </a:prstGeom>
            <a:noFill/>
          </xdr:spPr>
          <xdr:txBody>
            <a:bodyPr wrap="square">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left"/>
                  </m:oMathParaPr>
                  <m:oMath xmlns:m="http://schemas.openxmlformats.org/officeDocument/2006/math">
                    <m:r>
                      <a:rPr lang="en-IN" i="1">
                        <a:solidFill>
                          <a:srgbClr val="000000"/>
                        </a:solidFill>
                        <a:latin typeface="Cambria Math" panose="02040503050406030204" pitchFamily="18" charset="0"/>
                      </a:rPr>
                      <m:t>𝑃</m:t>
                    </m:r>
                    <m:r>
                      <a:rPr lang="en-IN" i="1">
                        <a:solidFill>
                          <a:srgbClr val="000000"/>
                        </a:solidFill>
                        <a:latin typeface="Cambria Math" panose="02040503050406030204" pitchFamily="18" charset="0"/>
                      </a:rPr>
                      <m:t>(</m:t>
                    </m:r>
                    <m:r>
                      <a:rPr lang="en-IN" b="0" i="1">
                        <a:solidFill>
                          <a:srgbClr val="000000"/>
                        </a:solidFill>
                        <a:latin typeface="Cambria Math" panose="02040503050406030204" pitchFamily="18" charset="0"/>
                      </a:rPr>
                      <m:t>𝐶</m:t>
                    </m:r>
                    <m:r>
                      <a:rPr lang="en-IN" i="1">
                        <a:solidFill>
                          <a:srgbClr val="000000"/>
                        </a:solidFill>
                        <a:latin typeface="Cambria Math" panose="02040503050406030204" pitchFamily="18" charset="0"/>
                      </a:rPr>
                      <m:t>/</m:t>
                    </m:r>
                    <m:r>
                      <a:rPr lang="en-IN" b="0" i="1">
                        <a:solidFill>
                          <a:srgbClr val="000000"/>
                        </a:solidFill>
                        <a:latin typeface="Cambria Math" panose="02040503050406030204" pitchFamily="18" charset="0"/>
                      </a:rPr>
                      <m:t>𝑇𝐷</m:t>
                    </m:r>
                    <m:r>
                      <a:rPr lang="en-IN" i="1">
                        <a:solidFill>
                          <a:srgbClr val="000000"/>
                        </a:solidFill>
                        <a:latin typeface="Cambria Math" panose="02040503050406030204" pitchFamily="18" charset="0"/>
                      </a:rPr>
                      <m:t>)=</m:t>
                    </m:r>
                    <m:r>
                      <a:rPr lang="en-IN" i="1">
                        <a:solidFill>
                          <a:srgbClr val="000000"/>
                        </a:solidFill>
                        <a:latin typeface="Cambria Math" panose="02040503050406030204" pitchFamily="18" charset="0"/>
                      </a:rPr>
                      <m:t>𝑃</m:t>
                    </m:r>
                    <m:d>
                      <m:dPr>
                        <m:ctrlPr>
                          <a:rPr lang="en-IN" i="1">
                            <a:solidFill>
                              <a:srgbClr val="000000"/>
                            </a:solidFill>
                            <a:latin typeface="Cambria Math" panose="02040503050406030204" pitchFamily="18" charset="0"/>
                          </a:rPr>
                        </m:ctrlPr>
                      </m:dPr>
                      <m:e>
                        <m:r>
                          <a:rPr lang="en-IN" b="0" i="1">
                            <a:solidFill>
                              <a:srgbClr val="000000"/>
                            </a:solidFill>
                            <a:latin typeface="Cambria Math" panose="02040503050406030204" pitchFamily="18" charset="0"/>
                          </a:rPr>
                          <m:t>𝐶</m:t>
                        </m:r>
                      </m:e>
                    </m:d>
                    <m:r>
                      <a:rPr lang="en-IN" i="1">
                        <a:solidFill>
                          <a:srgbClr val="000000"/>
                        </a:solidFill>
                        <a:latin typeface="Cambria Math" panose="02040503050406030204" pitchFamily="18" charset="0"/>
                      </a:rPr>
                      <m:t>∗</m:t>
                    </m:r>
                    <m:nary>
                      <m:naryPr>
                        <m:chr m:val="∏"/>
                        <m:ctrlPr>
                          <a:rPr lang="en-IN" i="1">
                            <a:solidFill>
                              <a:srgbClr val="000000"/>
                            </a:solidFill>
                            <a:latin typeface="Cambria Math" panose="02040503050406030204" pitchFamily="18" charset="0"/>
                          </a:rPr>
                        </m:ctrlPr>
                      </m:naryPr>
                      <m:sub>
                        <m:r>
                          <a:rPr lang="en-IN" i="1">
                            <a:solidFill>
                              <a:srgbClr val="000000"/>
                            </a:solidFill>
                            <a:latin typeface="Cambria Math" panose="02040503050406030204" pitchFamily="18" charset="0"/>
                          </a:rPr>
                          <m:t>𝑖</m:t>
                        </m:r>
                        <m:r>
                          <a:rPr lang="en-IN" i="1">
                            <a:solidFill>
                              <a:srgbClr val="000000"/>
                            </a:solidFill>
                            <a:latin typeface="Cambria Math" panose="02040503050406030204" pitchFamily="18" charset="0"/>
                          </a:rPr>
                          <m:t>=1</m:t>
                        </m:r>
                      </m:sub>
                      <m:sup>
                        <m:r>
                          <a:rPr lang="en-IN" i="1">
                            <a:solidFill>
                              <a:srgbClr val="000000"/>
                            </a:solidFill>
                            <a:latin typeface="Cambria Math" panose="02040503050406030204" pitchFamily="18" charset="0"/>
                          </a:rPr>
                          <m:t>𝑛</m:t>
                        </m:r>
                      </m:sup>
                      <m:e>
                        <m:r>
                          <a:rPr lang="en-IN" i="1">
                            <a:solidFill>
                              <a:srgbClr val="000000"/>
                            </a:solidFill>
                            <a:latin typeface="Cambria Math" panose="02040503050406030204" pitchFamily="18" charset="0"/>
                          </a:rPr>
                          <m:t>𝑃</m:t>
                        </m:r>
                        <m:d>
                          <m:dPr>
                            <m:ctrlPr>
                              <a:rPr lang="en-IN" i="1">
                                <a:solidFill>
                                  <a:srgbClr val="000000"/>
                                </a:solidFill>
                                <a:latin typeface="Cambria Math" panose="02040503050406030204" pitchFamily="18" charset="0"/>
                              </a:rPr>
                            </m:ctrlPr>
                          </m:dPr>
                          <m:e>
                            <m:f>
                              <m:fPr>
                                <m:ctrlPr>
                                  <a:rPr lang="en-IN" i="1">
                                    <a:solidFill>
                                      <a:srgbClr val="000000"/>
                                    </a:solidFill>
                                    <a:latin typeface="Cambria Math" panose="02040503050406030204" pitchFamily="18" charset="0"/>
                                  </a:rPr>
                                </m:ctrlPr>
                              </m:fPr>
                              <m:num>
                                <m:sSub>
                                  <m:sSubPr>
                                    <m:ctrlPr>
                                      <a:rPr lang="en-IN" i="1">
                                        <a:solidFill>
                                          <a:srgbClr val="000000"/>
                                        </a:solidFill>
                                        <a:latin typeface="Cambria Math" panose="02040503050406030204" pitchFamily="18" charset="0"/>
                                      </a:rPr>
                                    </m:ctrlPr>
                                  </m:sSubPr>
                                  <m:e>
                                    <m:r>
                                      <a:rPr lang="en-IN" b="0" i="1">
                                        <a:solidFill>
                                          <a:srgbClr val="000000"/>
                                        </a:solidFill>
                                        <a:latin typeface="Cambria Math" panose="02040503050406030204" pitchFamily="18" charset="0"/>
                                      </a:rPr>
                                      <m:t>𝑤</m:t>
                                    </m:r>
                                  </m:e>
                                  <m:sub>
                                    <m:r>
                                      <a:rPr lang="en-IN" b="0" i="1">
                                        <a:solidFill>
                                          <a:srgbClr val="000000"/>
                                        </a:solidFill>
                                        <a:latin typeface="Cambria Math" panose="02040503050406030204" pitchFamily="18" charset="0"/>
                                      </a:rPr>
                                      <m:t>𝑖</m:t>
                                    </m:r>
                                  </m:sub>
                                </m:sSub>
                              </m:num>
                              <m:den>
                                <m:r>
                                  <a:rPr lang="en-IN" b="0" i="1">
                                    <a:solidFill>
                                      <a:srgbClr val="000000"/>
                                    </a:solidFill>
                                    <a:latin typeface="Cambria Math" panose="02040503050406030204" pitchFamily="18" charset="0"/>
                                  </a:rPr>
                                  <m:t>𝐶</m:t>
                                </m:r>
                              </m:den>
                            </m:f>
                          </m:e>
                        </m:d>
                      </m:e>
                    </m:nary>
                  </m:oMath>
                  <m:oMath xmlns:m="http://schemas.openxmlformats.org/officeDocument/2006/math">
                    <m:r>
                      <a:rPr lang="en-IN" i="1">
                        <a:solidFill>
                          <a:srgbClr val="000000"/>
                        </a:solidFill>
                        <a:latin typeface="Cambria Math" panose="02040503050406030204" pitchFamily="18" charset="0"/>
                      </a:rPr>
                      <m:t>𝑤h𝑒𝑟𝑒</m:t>
                    </m:r>
                    <m:r>
                      <a:rPr lang="en-IN" b="0" i="1">
                        <a:solidFill>
                          <a:srgbClr val="000000"/>
                        </a:solidFill>
                        <a:latin typeface="Cambria Math" panose="02040503050406030204" pitchFamily="18" charset="0"/>
                      </a:rPr>
                      <m:t> </m:t>
                    </m:r>
                    <m:r>
                      <a:rPr lang="en-IN" b="0" i="1">
                        <a:solidFill>
                          <a:srgbClr val="000000"/>
                        </a:solidFill>
                        <a:latin typeface="Cambria Math" panose="02040503050406030204" pitchFamily="18" charset="0"/>
                      </a:rPr>
                      <m:t>𝑇𝐷</m:t>
                    </m:r>
                    <m:r>
                      <a:rPr lang="en-IN" b="0" i="1">
                        <a:solidFill>
                          <a:srgbClr val="000000"/>
                        </a:solidFill>
                        <a:latin typeface="Cambria Math" panose="02040503050406030204" pitchFamily="18" charset="0"/>
                      </a:rPr>
                      <m:t>=</m:t>
                    </m:r>
                    <m:r>
                      <a:rPr lang="en-IN" b="0" i="1">
                        <a:solidFill>
                          <a:srgbClr val="000000"/>
                        </a:solidFill>
                        <a:latin typeface="Cambria Math" panose="02040503050406030204" pitchFamily="18" charset="0"/>
                      </a:rPr>
                      <m:t>𝑇𝑒𝑠𝑡</m:t>
                    </m:r>
                    <m:r>
                      <a:rPr lang="en-IN" b="0" i="1">
                        <a:solidFill>
                          <a:srgbClr val="000000"/>
                        </a:solidFill>
                        <a:latin typeface="Cambria Math" panose="02040503050406030204" pitchFamily="18" charset="0"/>
                      </a:rPr>
                      <m:t> </m:t>
                    </m:r>
                    <m:r>
                      <a:rPr lang="en-IN" b="0" i="1">
                        <a:solidFill>
                          <a:srgbClr val="000000"/>
                        </a:solidFill>
                        <a:latin typeface="Cambria Math" panose="02040503050406030204" pitchFamily="18" charset="0"/>
                      </a:rPr>
                      <m:t>𝑑𝑜𝑐𝑢𝑚𝑒𝑛𝑡</m:t>
                    </m:r>
                  </m:oMath>
                </m:oMathPara>
              </a14:m>
              <a:endParaRPr lang="en-IN" b="0" i="1">
                <a:solidFill>
                  <a:srgbClr val="000000"/>
                </a:solidFill>
                <a:latin typeface="Cambria Math" panose="02040503050406030204" pitchFamily="18" charset="0"/>
              </a:endParaRPr>
            </a:p>
            <a:p>
              <a:pPr/>
              <a14:m>
                <m:oMathPara xmlns:m="http://schemas.openxmlformats.org/officeDocument/2006/math">
                  <m:oMathParaPr>
                    <m:jc m:val="left"/>
                  </m:oMathParaPr>
                  <m:oMath xmlns:m="http://schemas.openxmlformats.org/officeDocument/2006/math">
                    <m:r>
                      <a:rPr lang="en-IN" i="1">
                        <a:solidFill>
                          <a:srgbClr val="000000"/>
                        </a:solidFill>
                        <a:latin typeface="Cambria Math" panose="02040503050406030204" pitchFamily="18" charset="0"/>
                      </a:rPr>
                      <m:t>𝑛</m:t>
                    </m:r>
                    <m:r>
                      <a:rPr lang="en-IN" i="1">
                        <a:solidFill>
                          <a:srgbClr val="000000"/>
                        </a:solidFill>
                        <a:latin typeface="Cambria Math" panose="02040503050406030204" pitchFamily="18" charset="0"/>
                      </a:rPr>
                      <m:t>= </m:t>
                    </m:r>
                    <m:r>
                      <a:rPr lang="en-IN" i="1">
                        <a:solidFill>
                          <a:srgbClr val="000000"/>
                        </a:solidFill>
                        <a:latin typeface="Cambria Math" panose="02040503050406030204" pitchFamily="18" charset="0"/>
                      </a:rPr>
                      <m:t>𝑛𝑢𝑚𝑏𝑒𝑟</m:t>
                    </m:r>
                    <m:r>
                      <a:rPr lang="en-IN" i="1">
                        <a:solidFill>
                          <a:srgbClr val="000000"/>
                        </a:solidFill>
                        <a:latin typeface="Cambria Math" panose="02040503050406030204" pitchFamily="18" charset="0"/>
                      </a:rPr>
                      <m:t> </m:t>
                    </m:r>
                    <m:r>
                      <a:rPr lang="en-IN" i="1">
                        <a:solidFill>
                          <a:srgbClr val="000000"/>
                        </a:solidFill>
                        <a:latin typeface="Cambria Math" panose="02040503050406030204" pitchFamily="18" charset="0"/>
                      </a:rPr>
                      <m:t>𝑜𝑓</m:t>
                    </m:r>
                    <m:r>
                      <a:rPr lang="en-IN" i="1">
                        <a:solidFill>
                          <a:srgbClr val="000000"/>
                        </a:solidFill>
                        <a:latin typeface="Cambria Math" panose="02040503050406030204" pitchFamily="18" charset="0"/>
                      </a:rPr>
                      <m:t> </m:t>
                    </m:r>
                    <m:r>
                      <a:rPr lang="en-IN" i="1">
                        <a:solidFill>
                          <a:srgbClr val="000000"/>
                        </a:solidFill>
                        <a:latin typeface="Cambria Math" panose="02040503050406030204" pitchFamily="18" charset="0"/>
                      </a:rPr>
                      <m:t>𝑤𝑜𝑟𝑑𝑠</m:t>
                    </m:r>
                    <m:r>
                      <a:rPr lang="en-IN" i="1">
                        <a:solidFill>
                          <a:srgbClr val="000000"/>
                        </a:solidFill>
                        <a:latin typeface="Cambria Math" panose="02040503050406030204" pitchFamily="18" charset="0"/>
                      </a:rPr>
                      <m:t> </m:t>
                    </m:r>
                    <m:r>
                      <a:rPr lang="en-IN" i="1">
                        <a:solidFill>
                          <a:srgbClr val="000000"/>
                        </a:solidFill>
                        <a:latin typeface="Cambria Math" panose="02040503050406030204" pitchFamily="18" charset="0"/>
                      </a:rPr>
                      <m:t>𝑝𝑟𝑒𝑠𝑒𝑛𝑡</m:t>
                    </m:r>
                    <m:r>
                      <a:rPr lang="en-IN" i="1">
                        <a:solidFill>
                          <a:srgbClr val="000000"/>
                        </a:solidFill>
                        <a:latin typeface="Cambria Math" panose="02040503050406030204" pitchFamily="18" charset="0"/>
                      </a:rPr>
                      <m:t> </m:t>
                    </m:r>
                    <m:r>
                      <a:rPr lang="en-IN" i="1">
                        <a:solidFill>
                          <a:srgbClr val="000000"/>
                        </a:solidFill>
                        <a:latin typeface="Cambria Math" panose="02040503050406030204" pitchFamily="18" charset="0"/>
                      </a:rPr>
                      <m:t>𝑖𝑛</m:t>
                    </m:r>
                    <m:r>
                      <a:rPr lang="en-IN" b="0" i="1">
                        <a:solidFill>
                          <a:srgbClr val="000000"/>
                        </a:solidFill>
                        <a:latin typeface="Cambria Math" panose="02040503050406030204" pitchFamily="18" charset="0"/>
                      </a:rPr>
                      <m:t> </m:t>
                    </m:r>
                    <m:r>
                      <a:rPr lang="en-IN" i="1">
                        <a:solidFill>
                          <a:srgbClr val="000000"/>
                        </a:solidFill>
                        <a:latin typeface="Cambria Math" panose="02040503050406030204" pitchFamily="18" charset="0"/>
                      </a:rPr>
                      <m:t>𝑇𝐷</m:t>
                    </m:r>
                    <m:r>
                      <a:rPr lang="en-IN" i="1">
                        <a:solidFill>
                          <a:srgbClr val="000000"/>
                        </a:solidFill>
                        <a:latin typeface="Cambria Math" panose="02040503050406030204" pitchFamily="18" charset="0"/>
                      </a:rPr>
                      <m:t> </m:t>
                    </m:r>
                  </m:oMath>
                </m:oMathPara>
              </a14:m>
              <a:endParaRPr lang="en-IN"/>
            </a:p>
          </xdr:txBody>
        </xdr:sp>
      </mc:Choice>
      <mc:Fallback xmlns="">
        <xdr:sp macro="" textlink="">
          <xdr:nvSpPr>
            <xdr:cNvPr id="2" name="Object 4">
              <a:extLst>
                <a:ext uri="{FF2B5EF4-FFF2-40B4-BE49-F238E27FC236}">
                  <a16:creationId xmlns:a16="http://schemas.microsoft.com/office/drawing/2014/main" id="{7231B0E3-95ED-92D1-C143-D62198564C7C}"/>
                </a:ext>
              </a:extLst>
            </xdr:cNvPr>
            <xdr:cNvSpPr txBox="1"/>
          </xdr:nvSpPr>
          <xdr:spPr bwMode="auto">
            <a:xfrm>
              <a:off x="609600" y="1150620"/>
              <a:ext cx="4503420" cy="1168631"/>
            </a:xfrm>
            <a:prstGeom prst="rect">
              <a:avLst/>
            </a:prstGeom>
            <a:noFill/>
          </xdr:spPr>
          <xdr:txBody>
            <a:bodyPr wrap="square">
              <a:norm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n-IN" i="0">
                  <a:solidFill>
                    <a:srgbClr val="000000"/>
                  </a:solidFill>
                  <a:latin typeface="Cambria Math" panose="02040503050406030204" pitchFamily="18" charset="0"/>
                </a:rPr>
                <a:t>𝑃(</a:t>
              </a:r>
              <a:r>
                <a:rPr lang="en-IN" b="0" i="0">
                  <a:solidFill>
                    <a:srgbClr val="000000"/>
                  </a:solidFill>
                  <a:latin typeface="Cambria Math" panose="02040503050406030204" pitchFamily="18" charset="0"/>
                </a:rPr>
                <a:t>𝐶</a:t>
              </a:r>
              <a:r>
                <a:rPr lang="en-IN" i="0">
                  <a:solidFill>
                    <a:srgbClr val="000000"/>
                  </a:solidFill>
                  <a:latin typeface="Cambria Math" panose="02040503050406030204" pitchFamily="18" charset="0"/>
                </a:rPr>
                <a:t>/</a:t>
              </a:r>
              <a:r>
                <a:rPr lang="en-IN" b="0" i="0">
                  <a:solidFill>
                    <a:srgbClr val="000000"/>
                  </a:solidFill>
                  <a:latin typeface="Cambria Math" panose="02040503050406030204" pitchFamily="18" charset="0"/>
                </a:rPr>
                <a:t>𝑇𝐷</a:t>
              </a:r>
              <a:r>
                <a:rPr lang="en-IN" i="0">
                  <a:solidFill>
                    <a:srgbClr val="000000"/>
                  </a:solidFill>
                  <a:latin typeface="Cambria Math" panose="02040503050406030204" pitchFamily="18" charset="0"/>
                </a:rPr>
                <a:t>)=𝑃(</a:t>
              </a:r>
              <a:r>
                <a:rPr lang="en-IN" b="0" i="0">
                  <a:solidFill>
                    <a:srgbClr val="000000"/>
                  </a:solidFill>
                  <a:latin typeface="Cambria Math" panose="02040503050406030204" pitchFamily="18" charset="0"/>
                </a:rPr>
                <a:t>𝐶)</a:t>
              </a:r>
              <a:r>
                <a:rPr lang="en-IN" i="0">
                  <a:solidFill>
                    <a:srgbClr val="000000"/>
                  </a:solidFill>
                  <a:latin typeface="Cambria Math" panose="02040503050406030204" pitchFamily="18" charset="0"/>
                </a:rPr>
                <a:t>∗∏_(𝑖=1)^𝑛</a:t>
              </a:r>
              <a:r>
                <a:rPr lang="en-IN" b="0" i="0">
                  <a:solidFill>
                    <a:srgbClr val="000000"/>
                  </a:solidFill>
                  <a:latin typeface="Cambria Math" panose="02040503050406030204" pitchFamily="18" charset="0"/>
                </a:rPr>
                <a:t>▒</a:t>
              </a:r>
              <a:r>
                <a:rPr lang="en-IN" i="0">
                  <a:solidFill>
                    <a:srgbClr val="000000"/>
                  </a:solidFill>
                  <a:latin typeface="Cambria Math" panose="02040503050406030204" pitchFamily="18" charset="0"/>
                </a:rPr>
                <a:t>𝑃(</a:t>
              </a:r>
              <a:r>
                <a:rPr lang="en-IN" b="0" i="0">
                  <a:solidFill>
                    <a:srgbClr val="000000"/>
                  </a:solidFill>
                  <a:latin typeface="Cambria Math" panose="02040503050406030204" pitchFamily="18" charset="0"/>
                </a:rPr>
                <a:t>𝑤_𝑖/𝐶) </a:t>
              </a:r>
              <a:br>
                <a:rPr lang="en-IN" b="0" i="1">
                  <a:solidFill>
                    <a:srgbClr val="000000"/>
                  </a:solidFill>
                  <a:latin typeface="Cambria Math" panose="02040503050406030204" pitchFamily="18" charset="0"/>
                </a:rPr>
              </a:br>
              <a:r>
                <a:rPr lang="en-IN" i="0">
                  <a:solidFill>
                    <a:srgbClr val="000000"/>
                  </a:solidFill>
                  <a:latin typeface="Cambria Math" panose="02040503050406030204" pitchFamily="18" charset="0"/>
                </a:rPr>
                <a:t>𝑤ℎ𝑒𝑟𝑒</a:t>
              </a:r>
              <a:r>
                <a:rPr lang="en-IN" b="0" i="0">
                  <a:solidFill>
                    <a:srgbClr val="000000"/>
                  </a:solidFill>
                  <a:latin typeface="Cambria Math" panose="02040503050406030204" pitchFamily="18" charset="0"/>
                </a:rPr>
                <a:t> 𝑇𝐷=𝑇𝑒𝑠𝑡 𝑑𝑜𝑐𝑢𝑚𝑒𝑛𝑡</a:t>
              </a:r>
              <a:endParaRPr lang="en-IN" b="0" i="1">
                <a:solidFill>
                  <a:srgbClr val="000000"/>
                </a:solidFill>
                <a:latin typeface="Cambria Math" panose="02040503050406030204" pitchFamily="18" charset="0"/>
              </a:endParaRPr>
            </a:p>
            <a:p>
              <a:pPr/>
              <a:r>
                <a:rPr lang="en-IN" i="0">
                  <a:solidFill>
                    <a:srgbClr val="000000"/>
                  </a:solidFill>
                  <a:latin typeface="Cambria Math" panose="02040503050406030204" pitchFamily="18" charset="0"/>
                </a:rPr>
                <a:t>𝑛= 𝑛𝑢𝑚𝑏𝑒𝑟 𝑜𝑓 𝑤𝑜𝑟𝑑𝑠 𝑝𝑟𝑒𝑠𝑒𝑛𝑡 𝑖𝑛</a:t>
              </a:r>
              <a:r>
                <a:rPr lang="en-IN" b="0" i="0">
                  <a:solidFill>
                    <a:srgbClr val="000000"/>
                  </a:solidFill>
                  <a:latin typeface="Cambria Math" panose="02040503050406030204" pitchFamily="18" charset="0"/>
                </a:rPr>
                <a:t> </a:t>
              </a:r>
              <a:r>
                <a:rPr lang="en-IN" i="0">
                  <a:solidFill>
                    <a:srgbClr val="000000"/>
                  </a:solidFill>
                  <a:latin typeface="Cambria Math" panose="02040503050406030204" pitchFamily="18" charset="0"/>
                </a:rPr>
                <a:t>𝑇𝐷 </a:t>
              </a:r>
              <a:endParaRPr lang="en-IN"/>
            </a:p>
          </xdr:txBody>
        </xdr:sp>
      </mc:Fallback>
    </mc:AlternateContent>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EF572B-BB6F-45DC-B5E2-7A5915440FF3}" name="Table2" displayName="Table2" ref="A1:J165" totalsRowShown="0" headerRowDxfId="13" dataDxfId="11" headerRowBorderDxfId="12" tableBorderDxfId="10">
  <autoFilter ref="A1:J165" xr:uid="{96EF572B-BB6F-45DC-B5E2-7A5915440FF3}"/>
  <tableColumns count="10">
    <tableColumn id="1" xr3:uid="{35AF7E58-1890-423C-BEB9-0486DC2B6185}" name="DOC NO" dataDxfId="9"/>
    <tableColumn id="2" xr3:uid="{748D33B3-1CBE-4A7D-8A65-68F2778A1EE3}" name="CLASS" dataDxfId="8"/>
    <tableColumn id="3" xr3:uid="{8DD47D4D-38A5-410D-BE4C-A122C04CCBAE}" name="WORDS IN CLASS1" dataDxfId="7"/>
    <tableColumn id="4" xr3:uid="{F6878BC2-BFCD-4970-9D28-949A84D0E733}" name="WORD COUNT IN CLASS 1" dataDxfId="6">
      <calculatedColumnFormula>COUNTIFS($C$2:$C$165,C2,$B$2:$B$165,1)</calculatedColumnFormula>
    </tableColumn>
    <tableColumn id="5" xr3:uid="{22FCA94F-30CF-4181-9984-C47535DB68CE}" name="TOTAL WORD IN C1" dataDxfId="5">
      <calculatedColumnFormula>COUNTIF($B$2:$B$165,1)</calculatedColumnFormula>
    </tableColumn>
    <tableColumn id="6" xr3:uid="{7F5AD744-8B70-47CA-B771-154BBC4CAC61}" name="LIKELIHOOD IN CLASS C1" dataDxfId="4">
      <calculatedColumnFormula>(D2+$B$2)/($E$2+$G$2)</calculatedColumnFormula>
    </tableColumn>
    <tableColumn id="7" xr3:uid="{058EA29B-4AA8-46A7-9C14-711AEE34BDD0}" name="UNIQUE WORD" dataDxfId="3">
      <calculatedColumnFormula>COUNTIF($P$2:$P$108,"&lt;&gt;")</calculatedColumnFormula>
    </tableColumn>
    <tableColumn id="8" xr3:uid="{9221CDEA-2377-4636-A357-D423E3C37E25}" name="WORD COUNT IN CLASS 0" dataDxfId="2">
      <calculatedColumnFormula>COUNTIFS($C$2:$C$165,C2,$B$2:$B$165,0)</calculatedColumnFormula>
    </tableColumn>
    <tableColumn id="9" xr3:uid="{8F3D8886-1D36-492F-B808-8F421EA82AB0}" name="TOTAL WORD IN C0" dataDxfId="1">
      <calculatedColumnFormula>COUNTIF($B$2:$B$165,0)</calculatedColumnFormula>
    </tableColumn>
    <tableColumn id="10" xr3:uid="{19819A6E-7026-4E82-B149-C75000466B72}" name="LIKELIHOOD IN CLASS C0" dataDxfId="0">
      <calculatedColumnFormula>(H2+$B$2)/($I$2+$G$2)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9278-AE15-4DC5-A0BC-60C67DC64029}">
  <dimension ref="A1:I11"/>
  <sheetViews>
    <sheetView tabSelected="1" zoomScale="54" workbookViewId="0">
      <selection activeCell="E6" sqref="E6"/>
    </sheetView>
  </sheetViews>
  <sheetFormatPr defaultRowHeight="14.4" x14ac:dyDescent="0.3"/>
  <cols>
    <col min="1" max="1" width="62.109375" customWidth="1"/>
    <col min="2" max="2" width="11.21875" customWidth="1"/>
    <col min="8" max="8" width="77.88671875" customWidth="1"/>
  </cols>
  <sheetData>
    <row r="1" spans="1:9" ht="24" thickBot="1" x14ac:dyDescent="0.5">
      <c r="A1" s="3" t="s">
        <v>0</v>
      </c>
      <c r="B1" s="4" t="s">
        <v>1</v>
      </c>
      <c r="E1" s="54" t="s">
        <v>380</v>
      </c>
      <c r="F1" s="54"/>
      <c r="G1" s="55"/>
      <c r="H1" s="3" t="s">
        <v>0</v>
      </c>
      <c r="I1" s="4" t="s">
        <v>1</v>
      </c>
    </row>
    <row r="2" spans="1:9" ht="67.2" customHeight="1" thickBot="1" x14ac:dyDescent="0.35">
      <c r="A2" s="1" t="s">
        <v>2</v>
      </c>
      <c r="B2" s="2">
        <v>1</v>
      </c>
      <c r="H2" s="1" t="s">
        <v>2</v>
      </c>
      <c r="I2" s="2">
        <v>1</v>
      </c>
    </row>
    <row r="3" spans="1:9" ht="64.2" customHeight="1" thickBot="1" x14ac:dyDescent="0.35">
      <c r="A3" s="1" t="s">
        <v>3</v>
      </c>
      <c r="B3" s="2">
        <v>1</v>
      </c>
      <c r="H3" s="1" t="s">
        <v>3</v>
      </c>
      <c r="I3" s="2">
        <v>1</v>
      </c>
    </row>
    <row r="4" spans="1:9" ht="83.4" thickBot="1" x14ac:dyDescent="0.35">
      <c r="A4" s="1" t="s">
        <v>4</v>
      </c>
      <c r="B4" s="2">
        <v>1</v>
      </c>
      <c r="H4" s="1" t="s">
        <v>4</v>
      </c>
      <c r="I4" s="2">
        <v>1</v>
      </c>
    </row>
    <row r="5" spans="1:9" ht="42" thickBot="1" x14ac:dyDescent="0.35">
      <c r="A5" s="1" t="s">
        <v>5</v>
      </c>
      <c r="B5" s="2">
        <v>0</v>
      </c>
      <c r="H5" s="1" t="s">
        <v>5</v>
      </c>
      <c r="I5" s="2">
        <v>0</v>
      </c>
    </row>
    <row r="6" spans="1:9" ht="42" thickBot="1" x14ac:dyDescent="0.35">
      <c r="A6" s="1" t="s">
        <v>6</v>
      </c>
      <c r="B6" s="2">
        <v>0</v>
      </c>
      <c r="H6" s="1" t="s">
        <v>6</v>
      </c>
      <c r="I6" s="2">
        <v>0</v>
      </c>
    </row>
    <row r="7" spans="1:9" ht="74.400000000000006" customHeight="1" thickBot="1" x14ac:dyDescent="0.35">
      <c r="A7" s="1" t="s">
        <v>7</v>
      </c>
      <c r="B7" s="2">
        <v>1</v>
      </c>
      <c r="H7" s="1" t="s">
        <v>7</v>
      </c>
      <c r="I7" s="2">
        <v>1</v>
      </c>
    </row>
    <row r="8" spans="1:9" ht="51.6" customHeight="1" thickBot="1" x14ac:dyDescent="0.35">
      <c r="A8" s="1" t="s">
        <v>8</v>
      </c>
      <c r="B8" s="2">
        <v>0</v>
      </c>
      <c r="H8" s="1" t="s">
        <v>8</v>
      </c>
      <c r="I8" s="2">
        <v>0</v>
      </c>
    </row>
    <row r="9" spans="1:9" ht="69.599999999999994" thickBot="1" x14ac:dyDescent="0.35">
      <c r="A9" s="1" t="s">
        <v>9</v>
      </c>
      <c r="B9" s="2">
        <v>1</v>
      </c>
      <c r="H9" s="1" t="s">
        <v>9</v>
      </c>
      <c r="I9" s="2">
        <v>1</v>
      </c>
    </row>
    <row r="10" spans="1:9" ht="55.8" thickBot="1" x14ac:dyDescent="0.35">
      <c r="A10" s="1" t="s">
        <v>10</v>
      </c>
      <c r="B10" s="2" t="s">
        <v>11</v>
      </c>
      <c r="H10" s="1" t="s">
        <v>10</v>
      </c>
      <c r="I10" s="32">
        <v>0</v>
      </c>
    </row>
    <row r="11" spans="1:9" ht="55.8" thickBot="1" x14ac:dyDescent="0.35">
      <c r="A11" s="1" t="s">
        <v>12</v>
      </c>
      <c r="B11" s="2" t="s">
        <v>11</v>
      </c>
      <c r="H11" s="1" t="s">
        <v>12</v>
      </c>
      <c r="I11" s="32">
        <v>1</v>
      </c>
    </row>
  </sheetData>
  <mergeCells count="1">
    <mergeCell ref="E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9BF0B-2CFD-44F4-8B2A-CC9430EEAF33}">
  <dimension ref="A1:BX76"/>
  <sheetViews>
    <sheetView zoomScale="88" workbookViewId="0">
      <selection activeCell="G19" sqref="G19"/>
    </sheetView>
  </sheetViews>
  <sheetFormatPr defaultRowHeight="14.4" x14ac:dyDescent="0.3"/>
  <cols>
    <col min="2" max="2" width="29.33203125" bestFit="1" customWidth="1"/>
    <col min="3" max="3" width="13.33203125" bestFit="1" customWidth="1"/>
    <col min="4" max="4" width="14.33203125" bestFit="1" customWidth="1"/>
    <col min="8" max="8" width="9.77734375" bestFit="1" customWidth="1"/>
    <col min="9" max="9" width="10.44140625" bestFit="1" customWidth="1"/>
    <col min="10" max="10" width="10.109375" bestFit="1" customWidth="1"/>
    <col min="11" max="11" width="10.44140625" bestFit="1" customWidth="1"/>
    <col min="16" max="16" width="10.6640625" bestFit="1" customWidth="1"/>
    <col min="18" max="18" width="11" bestFit="1" customWidth="1"/>
    <col min="21" max="21" width="11.6640625" bestFit="1" customWidth="1"/>
    <col min="22" max="22" width="12.33203125" bestFit="1" customWidth="1"/>
    <col min="24" max="24" width="10.77734375" bestFit="1" customWidth="1"/>
    <col min="26" max="26" width="11.21875" bestFit="1" customWidth="1"/>
    <col min="27" max="27" width="10.21875" bestFit="1" customWidth="1"/>
    <col min="28" max="28" width="9.44140625" bestFit="1" customWidth="1"/>
    <col min="29" max="29" width="11.21875" bestFit="1" customWidth="1"/>
    <col min="31" max="31" width="11.77734375" bestFit="1" customWidth="1"/>
    <col min="35" max="35" width="10.77734375" bestFit="1" customWidth="1"/>
    <col min="49" max="49" width="13.33203125" bestFit="1" customWidth="1"/>
    <col min="57" max="57" width="11.21875" bestFit="1" customWidth="1"/>
  </cols>
  <sheetData>
    <row r="1" spans="1:76" ht="21" x14ac:dyDescent="0.4">
      <c r="A1" s="8" t="s">
        <v>319</v>
      </c>
      <c r="B1" s="8"/>
    </row>
    <row r="2" spans="1:76" s="5" customFormat="1" ht="15.6" x14ac:dyDescent="0.3">
      <c r="A2" s="6" t="s">
        <v>316</v>
      </c>
      <c r="B2" s="56" t="s">
        <v>270</v>
      </c>
      <c r="C2" s="56"/>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12" t="s">
        <v>1</v>
      </c>
    </row>
    <row r="3" spans="1:76" s="5" customFormat="1" ht="15.6" x14ac:dyDescent="0.3">
      <c r="A3" s="11" t="s">
        <v>54</v>
      </c>
      <c r="B3" s="10" t="s">
        <v>13</v>
      </c>
      <c r="C3" s="9" t="s">
        <v>14</v>
      </c>
      <c r="D3" s="9" t="s">
        <v>15</v>
      </c>
      <c r="E3" s="9" t="s">
        <v>16</v>
      </c>
      <c r="F3" s="9" t="s">
        <v>17</v>
      </c>
      <c r="G3" s="9" t="s">
        <v>18</v>
      </c>
      <c r="H3" s="9" t="s">
        <v>19</v>
      </c>
      <c r="I3" s="9" t="s">
        <v>20</v>
      </c>
      <c r="J3" s="9" t="s">
        <v>21</v>
      </c>
      <c r="K3" s="9" t="s">
        <v>22</v>
      </c>
      <c r="L3" s="9" t="s">
        <v>23</v>
      </c>
      <c r="M3" s="9" t="s">
        <v>24</v>
      </c>
      <c r="N3" s="9" t="s">
        <v>14</v>
      </c>
      <c r="O3" s="9" t="s">
        <v>25</v>
      </c>
      <c r="P3" s="9" t="s">
        <v>26</v>
      </c>
      <c r="Q3" s="9" t="s">
        <v>27</v>
      </c>
      <c r="R3" s="9" t="s">
        <v>28</v>
      </c>
      <c r="S3" s="9" t="s">
        <v>29</v>
      </c>
      <c r="T3" s="9" t="s">
        <v>30</v>
      </c>
      <c r="U3" s="9" t="s">
        <v>31</v>
      </c>
      <c r="V3" s="9" t="s">
        <v>32</v>
      </c>
      <c r="W3" s="9" t="s">
        <v>33</v>
      </c>
      <c r="X3" s="9" t="s">
        <v>34</v>
      </c>
      <c r="Y3" s="9" t="s">
        <v>35</v>
      </c>
      <c r="Z3" s="9" t="s">
        <v>36</v>
      </c>
      <c r="AA3" s="9" t="s">
        <v>37</v>
      </c>
      <c r="AB3" s="9" t="s">
        <v>38</v>
      </c>
      <c r="AC3" s="9" t="s">
        <v>39</v>
      </c>
      <c r="AD3" s="9" t="s">
        <v>24</v>
      </c>
      <c r="AE3" s="9" t="s">
        <v>40</v>
      </c>
      <c r="AF3" s="9" t="s">
        <v>21</v>
      </c>
      <c r="AG3" s="9" t="s">
        <v>41</v>
      </c>
      <c r="AH3" s="9" t="s">
        <v>42</v>
      </c>
      <c r="AI3" s="9" t="s">
        <v>43</v>
      </c>
      <c r="AJ3" s="9" t="s">
        <v>44</v>
      </c>
      <c r="AK3" s="9" t="s">
        <v>45</v>
      </c>
      <c r="AL3" s="9" t="s">
        <v>46</v>
      </c>
      <c r="AM3" s="9" t="s">
        <v>47</v>
      </c>
      <c r="AN3" s="9" t="s">
        <v>48</v>
      </c>
      <c r="AO3" s="9" t="s">
        <v>49</v>
      </c>
      <c r="AP3" s="9" t="s">
        <v>50</v>
      </c>
      <c r="AQ3" s="9" t="s">
        <v>34</v>
      </c>
      <c r="AR3" s="9" t="s">
        <v>51</v>
      </c>
      <c r="AS3" s="9" t="s">
        <v>40</v>
      </c>
      <c r="AT3" s="9" t="s">
        <v>52</v>
      </c>
      <c r="AU3" s="9" t="s">
        <v>53</v>
      </c>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13">
        <v>1</v>
      </c>
    </row>
    <row r="4" spans="1:76" s="5" customFormat="1" ht="15.6" x14ac:dyDescent="0.3">
      <c r="A4" s="11" t="s">
        <v>55</v>
      </c>
      <c r="B4" s="10" t="s">
        <v>47</v>
      </c>
      <c r="C4" s="9" t="s">
        <v>56</v>
      </c>
      <c r="D4" s="9" t="s">
        <v>24</v>
      </c>
      <c r="E4" s="9" t="s">
        <v>27</v>
      </c>
      <c r="F4" s="9" t="s">
        <v>46</v>
      </c>
      <c r="G4" s="9" t="s">
        <v>57</v>
      </c>
      <c r="H4" s="9" t="s">
        <v>58</v>
      </c>
      <c r="I4" s="9" t="s">
        <v>59</v>
      </c>
      <c r="J4" s="9" t="s">
        <v>60</v>
      </c>
      <c r="K4" s="9" t="s">
        <v>30</v>
      </c>
      <c r="L4" s="9" t="s">
        <v>31</v>
      </c>
      <c r="M4" s="9" t="s">
        <v>32</v>
      </c>
      <c r="N4" s="9" t="s">
        <v>61</v>
      </c>
      <c r="O4" s="9" t="s">
        <v>62</v>
      </c>
      <c r="P4" s="9" t="s">
        <v>63</v>
      </c>
      <c r="Q4" s="9" t="s">
        <v>64</v>
      </c>
      <c r="R4" s="9" t="s">
        <v>50</v>
      </c>
      <c r="S4" s="9" t="s">
        <v>29</v>
      </c>
      <c r="T4" s="9" t="s">
        <v>66</v>
      </c>
      <c r="U4" s="9" t="s">
        <v>67</v>
      </c>
      <c r="V4" s="9" t="s">
        <v>27</v>
      </c>
      <c r="W4" s="9" t="s">
        <v>68</v>
      </c>
      <c r="X4" s="9" t="s">
        <v>69</v>
      </c>
      <c r="Y4" s="9" t="s">
        <v>70</v>
      </c>
      <c r="Z4" s="9" t="s">
        <v>71</v>
      </c>
      <c r="AA4" s="9" t="s">
        <v>72</v>
      </c>
      <c r="AB4" s="9" t="s">
        <v>73</v>
      </c>
      <c r="AC4" s="9" t="s">
        <v>74</v>
      </c>
      <c r="AD4" s="9" t="s">
        <v>75</v>
      </c>
      <c r="AE4" s="9" t="s">
        <v>76</v>
      </c>
      <c r="AF4" s="9" t="s">
        <v>77</v>
      </c>
      <c r="AG4" s="9" t="s">
        <v>78</v>
      </c>
      <c r="AH4" s="9" t="s">
        <v>49</v>
      </c>
      <c r="AI4" s="9">
        <v>6</v>
      </c>
      <c r="AJ4" s="9" t="s">
        <v>79</v>
      </c>
      <c r="AK4" s="9" t="s">
        <v>80</v>
      </c>
      <c r="AL4" s="9" t="s">
        <v>71</v>
      </c>
      <c r="AM4" s="9" t="s">
        <v>81</v>
      </c>
      <c r="AN4" s="9" t="s">
        <v>24</v>
      </c>
      <c r="AO4" s="9" t="s">
        <v>82</v>
      </c>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13">
        <v>1</v>
      </c>
    </row>
    <row r="5" spans="1:76" s="5" customFormat="1" ht="15.6" x14ac:dyDescent="0.3">
      <c r="A5" s="11" t="s">
        <v>83</v>
      </c>
      <c r="B5" s="10" t="s">
        <v>47</v>
      </c>
      <c r="C5" s="9" t="s">
        <v>84</v>
      </c>
      <c r="D5" s="9" t="s">
        <v>85</v>
      </c>
      <c r="E5" s="9" t="s">
        <v>24</v>
      </c>
      <c r="F5" s="9" t="s">
        <v>14</v>
      </c>
      <c r="G5" s="9" t="s">
        <v>70</v>
      </c>
      <c r="H5" s="9" t="s">
        <v>86</v>
      </c>
      <c r="I5" s="9" t="s">
        <v>87</v>
      </c>
      <c r="J5" s="9" t="s">
        <v>88</v>
      </c>
      <c r="K5" s="9" t="s">
        <v>89</v>
      </c>
      <c r="L5" s="9" t="s">
        <v>90</v>
      </c>
      <c r="M5" s="9" t="s">
        <v>18</v>
      </c>
      <c r="N5" s="9" t="s">
        <v>91</v>
      </c>
      <c r="O5" s="9" t="s">
        <v>23</v>
      </c>
      <c r="P5" s="9" t="s">
        <v>92</v>
      </c>
      <c r="Q5" s="9" t="s">
        <v>93</v>
      </c>
      <c r="R5" s="9" t="s">
        <v>29</v>
      </c>
      <c r="S5" s="9" t="s">
        <v>29</v>
      </c>
      <c r="T5" s="9" t="s">
        <v>31</v>
      </c>
      <c r="U5" s="9" t="s">
        <v>32</v>
      </c>
      <c r="V5" s="9" t="s">
        <v>80</v>
      </c>
      <c r="W5" s="9" t="s">
        <v>23</v>
      </c>
      <c r="X5" s="9" t="s">
        <v>94</v>
      </c>
      <c r="Y5" s="9" t="s">
        <v>95</v>
      </c>
      <c r="Z5" s="9" t="s">
        <v>96</v>
      </c>
      <c r="AA5" s="9" t="s">
        <v>23</v>
      </c>
      <c r="AB5" s="9" t="s">
        <v>80</v>
      </c>
      <c r="AC5" s="9" t="s">
        <v>47</v>
      </c>
      <c r="AD5" s="9" t="s">
        <v>97</v>
      </c>
      <c r="AE5" s="9" t="s">
        <v>98</v>
      </c>
      <c r="AF5" s="9" t="s">
        <v>99</v>
      </c>
      <c r="AG5" s="9" t="s">
        <v>100</v>
      </c>
      <c r="AH5" s="9" t="s">
        <v>26</v>
      </c>
      <c r="AI5" s="9" t="s">
        <v>28</v>
      </c>
      <c r="AJ5" s="9" t="s">
        <v>29</v>
      </c>
      <c r="AK5" s="9" t="s">
        <v>101</v>
      </c>
      <c r="AL5" s="9" t="s">
        <v>98</v>
      </c>
      <c r="AM5" s="9" t="s">
        <v>102</v>
      </c>
      <c r="AN5" s="9" t="s">
        <v>103</v>
      </c>
      <c r="AO5" s="9" t="s">
        <v>98</v>
      </c>
      <c r="AP5" s="9" t="s">
        <v>104</v>
      </c>
      <c r="AQ5" s="9" t="s">
        <v>13</v>
      </c>
      <c r="AR5" s="9" t="s">
        <v>105</v>
      </c>
      <c r="AS5" s="9" t="s">
        <v>15</v>
      </c>
      <c r="AT5" s="9" t="s">
        <v>91</v>
      </c>
      <c r="AU5" s="9" t="s">
        <v>40</v>
      </c>
      <c r="AV5" s="9" t="s">
        <v>98</v>
      </c>
      <c r="AW5" s="9" t="s">
        <v>106</v>
      </c>
      <c r="AX5" s="9" t="s">
        <v>107</v>
      </c>
      <c r="AY5" s="9" t="s">
        <v>108</v>
      </c>
      <c r="AZ5" s="9" t="s">
        <v>109</v>
      </c>
      <c r="BA5" s="9" t="s">
        <v>110</v>
      </c>
      <c r="BB5" s="9" t="s">
        <v>17</v>
      </c>
      <c r="BC5" s="9" t="s">
        <v>111</v>
      </c>
      <c r="BD5" s="9" t="s">
        <v>112</v>
      </c>
      <c r="BE5" s="9" t="s">
        <v>39</v>
      </c>
      <c r="BF5" s="9" t="s">
        <v>24</v>
      </c>
      <c r="BG5" s="9" t="s">
        <v>105</v>
      </c>
      <c r="BH5" s="9" t="s">
        <v>40</v>
      </c>
      <c r="BI5" s="9" t="s">
        <v>113</v>
      </c>
      <c r="BJ5" s="9" t="s">
        <v>114</v>
      </c>
      <c r="BK5" s="9" t="s">
        <v>32</v>
      </c>
      <c r="BL5" s="9" t="s">
        <v>115</v>
      </c>
      <c r="BM5" s="9" t="s">
        <v>116</v>
      </c>
      <c r="BN5" s="9" t="s">
        <v>40</v>
      </c>
      <c r="BO5" s="9" t="s">
        <v>117</v>
      </c>
      <c r="BP5" s="9" t="s">
        <v>103</v>
      </c>
      <c r="BQ5" s="9" t="s">
        <v>118</v>
      </c>
      <c r="BR5" s="9" t="s">
        <v>119</v>
      </c>
      <c r="BS5" s="9" t="s">
        <v>120</v>
      </c>
      <c r="BT5" s="9" t="s">
        <v>18</v>
      </c>
      <c r="BU5" s="9" t="s">
        <v>121</v>
      </c>
      <c r="BV5" s="9" t="s">
        <v>32</v>
      </c>
      <c r="BW5" s="9" t="s">
        <v>122</v>
      </c>
      <c r="BX5" s="13">
        <v>1</v>
      </c>
    </row>
    <row r="6" spans="1:76" s="5" customFormat="1" ht="15.6" x14ac:dyDescent="0.3">
      <c r="A6" s="11" t="s">
        <v>123</v>
      </c>
      <c r="B6" s="10" t="s">
        <v>130</v>
      </c>
      <c r="C6" s="9" t="s">
        <v>131</v>
      </c>
      <c r="D6" s="9" t="s">
        <v>132</v>
      </c>
      <c r="E6" s="9" t="s">
        <v>24</v>
      </c>
      <c r="F6" s="9" t="s">
        <v>133</v>
      </c>
      <c r="G6" s="9" t="s">
        <v>134</v>
      </c>
      <c r="H6" s="9" t="s">
        <v>135</v>
      </c>
      <c r="I6" s="9" t="s">
        <v>136</v>
      </c>
      <c r="J6" s="9" t="s">
        <v>137</v>
      </c>
      <c r="K6" s="9" t="s">
        <v>138</v>
      </c>
      <c r="L6" s="9" t="s">
        <v>139</v>
      </c>
      <c r="M6" s="9" t="s">
        <v>86</v>
      </c>
      <c r="N6" s="9" t="s">
        <v>136</v>
      </c>
      <c r="O6" s="9" t="s">
        <v>137</v>
      </c>
      <c r="P6" s="9" t="s">
        <v>140</v>
      </c>
      <c r="Q6" s="9" t="s">
        <v>26</v>
      </c>
      <c r="R6" s="9" t="s">
        <v>63</v>
      </c>
      <c r="S6" s="9" t="s">
        <v>29</v>
      </c>
      <c r="T6" s="9" t="s">
        <v>141</v>
      </c>
      <c r="U6" s="9" t="s">
        <v>142</v>
      </c>
      <c r="V6" s="9" t="s">
        <v>26</v>
      </c>
      <c r="W6" s="9" t="s">
        <v>143</v>
      </c>
      <c r="X6" s="9" t="s">
        <v>144</v>
      </c>
      <c r="Y6" s="9" t="s">
        <v>145</v>
      </c>
      <c r="Z6" s="9" t="s">
        <v>40</v>
      </c>
      <c r="AA6" s="9" t="s">
        <v>146</v>
      </c>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13">
        <v>0</v>
      </c>
    </row>
    <row r="7" spans="1:76" s="5" customFormat="1" ht="15.6" x14ac:dyDescent="0.3">
      <c r="A7" s="11" t="s">
        <v>124</v>
      </c>
      <c r="B7" s="10" t="s">
        <v>147</v>
      </c>
      <c r="C7" s="9" t="s">
        <v>148</v>
      </c>
      <c r="D7" s="9" t="s">
        <v>149</v>
      </c>
      <c r="E7" s="9" t="s">
        <v>150</v>
      </c>
      <c r="F7" s="9" t="s">
        <v>86</v>
      </c>
      <c r="G7" s="9" t="s">
        <v>87</v>
      </c>
      <c r="H7" s="9" t="s">
        <v>38</v>
      </c>
      <c r="I7" s="9" t="s">
        <v>151</v>
      </c>
      <c r="J7" s="9" t="s">
        <v>152</v>
      </c>
      <c r="K7" s="9" t="s">
        <v>63</v>
      </c>
      <c r="L7" s="9" t="s">
        <v>98</v>
      </c>
      <c r="M7" s="9" t="s">
        <v>153</v>
      </c>
      <c r="N7" s="9" t="s">
        <v>154</v>
      </c>
      <c r="O7" s="9" t="s">
        <v>29</v>
      </c>
      <c r="P7" s="9" t="s">
        <v>56</v>
      </c>
      <c r="Q7" s="9" t="s">
        <v>24</v>
      </c>
      <c r="R7" s="9" t="s">
        <v>155</v>
      </c>
      <c r="S7" s="9" t="s">
        <v>29</v>
      </c>
      <c r="T7" s="9" t="s">
        <v>157</v>
      </c>
      <c r="U7" s="9" t="s">
        <v>158</v>
      </c>
      <c r="V7" s="9" t="s">
        <v>159</v>
      </c>
      <c r="W7" s="9" t="s">
        <v>160</v>
      </c>
      <c r="X7" s="9" t="s">
        <v>161</v>
      </c>
      <c r="Y7" s="9" t="s">
        <v>29</v>
      </c>
      <c r="Z7" s="9" t="s">
        <v>162</v>
      </c>
      <c r="AA7" s="9" t="s">
        <v>163</v>
      </c>
      <c r="AB7" s="9" t="s">
        <v>49</v>
      </c>
      <c r="AC7" s="9" t="s">
        <v>164</v>
      </c>
      <c r="AD7" s="9" t="s">
        <v>29</v>
      </c>
      <c r="AE7" s="9" t="s">
        <v>165</v>
      </c>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13">
        <v>0</v>
      </c>
    </row>
    <row r="8" spans="1:76" s="5" customFormat="1" ht="15.6" x14ac:dyDescent="0.3">
      <c r="A8" s="11" t="s">
        <v>125</v>
      </c>
      <c r="B8" s="14" t="s">
        <v>13</v>
      </c>
      <c r="C8" s="9" t="s">
        <v>15</v>
      </c>
      <c r="D8" s="9" t="s">
        <v>50</v>
      </c>
      <c r="E8" s="9" t="s">
        <v>166</v>
      </c>
      <c r="F8" s="9" t="s">
        <v>93</v>
      </c>
      <c r="G8" s="9" t="s">
        <v>29</v>
      </c>
      <c r="H8" s="9" t="s">
        <v>30</v>
      </c>
      <c r="I8" s="9" t="s">
        <v>31</v>
      </c>
      <c r="J8" s="9" t="s">
        <v>32</v>
      </c>
      <c r="K8" s="9" t="s">
        <v>80</v>
      </c>
      <c r="L8" s="9" t="s">
        <v>149</v>
      </c>
      <c r="M8" s="9" t="s">
        <v>167</v>
      </c>
      <c r="N8" s="9" t="s">
        <v>168</v>
      </c>
      <c r="O8" s="9" t="s">
        <v>169</v>
      </c>
      <c r="P8" s="9" t="s">
        <v>170</v>
      </c>
      <c r="Q8" s="9" t="s">
        <v>171</v>
      </c>
      <c r="R8" s="9" t="s">
        <v>18</v>
      </c>
      <c r="S8" s="9" t="s">
        <v>29</v>
      </c>
      <c r="T8" s="9" t="s">
        <v>172</v>
      </c>
      <c r="U8" s="9" t="s">
        <v>90</v>
      </c>
      <c r="V8" s="9" t="s">
        <v>173</v>
      </c>
      <c r="W8" s="9" t="s">
        <v>18</v>
      </c>
      <c r="X8" s="9" t="s">
        <v>91</v>
      </c>
      <c r="Y8" s="9" t="s">
        <v>93</v>
      </c>
      <c r="Z8" s="9" t="s">
        <v>29</v>
      </c>
      <c r="AA8" s="9" t="s">
        <v>30</v>
      </c>
      <c r="AB8" s="9" t="s">
        <v>31</v>
      </c>
      <c r="AC8" s="9" t="s">
        <v>32</v>
      </c>
      <c r="AD8" s="9" t="s">
        <v>174</v>
      </c>
      <c r="AE8" s="9" t="s">
        <v>175</v>
      </c>
      <c r="AF8" s="9" t="s">
        <v>167</v>
      </c>
      <c r="AG8" s="9" t="s">
        <v>176</v>
      </c>
      <c r="AH8" s="9" t="s">
        <v>177</v>
      </c>
      <c r="AI8" s="9" t="s">
        <v>47</v>
      </c>
      <c r="AJ8" s="9" t="s">
        <v>178</v>
      </c>
      <c r="AK8" s="11" t="s">
        <v>24</v>
      </c>
      <c r="AL8" s="11" t="s">
        <v>29</v>
      </c>
      <c r="AM8" s="11" t="s">
        <v>113</v>
      </c>
      <c r="AN8" s="11" t="s">
        <v>179</v>
      </c>
      <c r="AO8" s="11" t="s">
        <v>180</v>
      </c>
      <c r="AP8" s="11" t="s">
        <v>181</v>
      </c>
      <c r="AQ8" s="9" t="s">
        <v>182</v>
      </c>
      <c r="AR8" s="9" t="s">
        <v>43</v>
      </c>
      <c r="AS8" s="9" t="s">
        <v>18</v>
      </c>
      <c r="AT8" s="9" t="s">
        <v>91</v>
      </c>
      <c r="AU8" s="9" t="s">
        <v>183</v>
      </c>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13">
        <v>1</v>
      </c>
    </row>
    <row r="9" spans="1:76" s="5" customFormat="1" ht="15.6" x14ac:dyDescent="0.3">
      <c r="A9" s="11" t="s">
        <v>126</v>
      </c>
      <c r="B9" s="10" t="s">
        <v>184</v>
      </c>
      <c r="C9" s="9" t="s">
        <v>15</v>
      </c>
      <c r="D9" s="9" t="s">
        <v>185</v>
      </c>
      <c r="E9" s="9" t="s">
        <v>186</v>
      </c>
      <c r="F9" s="9" t="s">
        <v>23</v>
      </c>
      <c r="G9" s="9" t="s">
        <v>187</v>
      </c>
      <c r="H9" s="9" t="s">
        <v>188</v>
      </c>
      <c r="I9" s="9" t="s">
        <v>49</v>
      </c>
      <c r="J9" s="9" t="s">
        <v>189</v>
      </c>
      <c r="K9" s="9" t="s">
        <v>26</v>
      </c>
      <c r="L9" s="9" t="s">
        <v>190</v>
      </c>
      <c r="M9" s="9" t="s">
        <v>185</v>
      </c>
      <c r="N9" s="9" t="s">
        <v>61</v>
      </c>
      <c r="O9" s="9" t="s">
        <v>15</v>
      </c>
      <c r="P9" s="9" t="s">
        <v>191</v>
      </c>
      <c r="Q9" s="9" t="s">
        <v>23</v>
      </c>
      <c r="R9" s="9" t="s">
        <v>192</v>
      </c>
      <c r="S9" s="9" t="s">
        <v>29</v>
      </c>
      <c r="T9" s="9" t="s">
        <v>194</v>
      </c>
      <c r="U9" s="9" t="s">
        <v>63</v>
      </c>
      <c r="V9" s="9" t="s">
        <v>61</v>
      </c>
      <c r="W9" s="9" t="s">
        <v>88</v>
      </c>
      <c r="X9" s="9" t="s">
        <v>317</v>
      </c>
      <c r="Y9" s="9" t="s">
        <v>318</v>
      </c>
      <c r="Z9" s="9" t="s">
        <v>80</v>
      </c>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13">
        <v>0</v>
      </c>
    </row>
    <row r="10" spans="1:76" s="5" customFormat="1" ht="15.6" x14ac:dyDescent="0.3">
      <c r="A10" s="11" t="s">
        <v>127</v>
      </c>
      <c r="B10" s="10" t="s">
        <v>195</v>
      </c>
      <c r="C10" s="9" t="s">
        <v>196</v>
      </c>
      <c r="D10" s="9" t="s">
        <v>197</v>
      </c>
      <c r="E10" s="9" t="s">
        <v>198</v>
      </c>
      <c r="F10" s="9" t="s">
        <v>40</v>
      </c>
      <c r="G10" s="9" t="s">
        <v>57</v>
      </c>
      <c r="H10" s="9">
        <v>15</v>
      </c>
      <c r="I10" s="9" t="s">
        <v>199</v>
      </c>
      <c r="J10" s="9" t="s">
        <v>200</v>
      </c>
      <c r="K10" s="9" t="s">
        <v>136</v>
      </c>
      <c r="L10" s="9" t="s">
        <v>23</v>
      </c>
      <c r="M10" s="9">
        <v>4</v>
      </c>
      <c r="N10" s="9" t="s">
        <v>201</v>
      </c>
      <c r="O10" s="9" t="s">
        <v>200</v>
      </c>
      <c r="P10" s="9" t="s">
        <v>202</v>
      </c>
      <c r="Q10" s="9" t="s">
        <v>195</v>
      </c>
      <c r="R10" s="9" t="s">
        <v>203</v>
      </c>
      <c r="S10" s="9" t="s">
        <v>29</v>
      </c>
      <c r="T10" s="9" t="s">
        <v>204</v>
      </c>
      <c r="U10" s="9" t="s">
        <v>205</v>
      </c>
      <c r="V10" s="9" t="s">
        <v>206</v>
      </c>
      <c r="W10" s="9" t="s">
        <v>174</v>
      </c>
      <c r="X10" s="9" t="s">
        <v>15</v>
      </c>
      <c r="Y10" s="9" t="s">
        <v>207</v>
      </c>
      <c r="Z10" s="9" t="s">
        <v>40</v>
      </c>
      <c r="AA10" s="9" t="s">
        <v>57</v>
      </c>
      <c r="AB10" s="9" t="s">
        <v>136</v>
      </c>
      <c r="AC10" s="9" t="s">
        <v>29</v>
      </c>
      <c r="AD10" s="9" t="s">
        <v>208</v>
      </c>
      <c r="AE10" s="9" t="s">
        <v>209</v>
      </c>
      <c r="AF10" s="9" t="s">
        <v>50</v>
      </c>
      <c r="AG10" s="9" t="s">
        <v>198</v>
      </c>
      <c r="AH10" s="9" t="s">
        <v>29</v>
      </c>
      <c r="AI10" s="9" t="s">
        <v>210</v>
      </c>
      <c r="AJ10" s="9" t="s">
        <v>50</v>
      </c>
      <c r="AK10" s="9" t="s">
        <v>211</v>
      </c>
      <c r="AL10" s="9" t="s">
        <v>78</v>
      </c>
      <c r="AM10" s="9" t="s">
        <v>212</v>
      </c>
      <c r="AN10" s="9" t="s">
        <v>213</v>
      </c>
      <c r="AO10" s="9" t="s">
        <v>60</v>
      </c>
      <c r="AP10" s="9" t="s">
        <v>214</v>
      </c>
      <c r="AQ10" s="9" t="s">
        <v>78</v>
      </c>
      <c r="AR10" s="9" t="s">
        <v>63</v>
      </c>
      <c r="AS10" s="9" t="s">
        <v>215</v>
      </c>
      <c r="AT10" s="9" t="s">
        <v>32</v>
      </c>
      <c r="AU10" s="9" t="s">
        <v>50</v>
      </c>
      <c r="AV10" s="9" t="s">
        <v>216</v>
      </c>
      <c r="AW10" s="9" t="s">
        <v>29</v>
      </c>
      <c r="AX10" s="9" t="s">
        <v>217</v>
      </c>
      <c r="AY10" s="9" t="s">
        <v>18</v>
      </c>
      <c r="AZ10" s="9" t="s">
        <v>218</v>
      </c>
      <c r="BA10" s="9" t="s">
        <v>219</v>
      </c>
      <c r="BB10" s="9" t="s">
        <v>19</v>
      </c>
      <c r="BC10" s="9" t="s">
        <v>220</v>
      </c>
      <c r="BD10" s="9" t="s">
        <v>182</v>
      </c>
      <c r="BE10" s="9" t="s">
        <v>213</v>
      </c>
      <c r="BF10" s="9" t="s">
        <v>221</v>
      </c>
      <c r="BG10" s="9" t="s">
        <v>222</v>
      </c>
      <c r="BH10" s="9" t="s">
        <v>223</v>
      </c>
      <c r="BI10" s="9" t="s">
        <v>18</v>
      </c>
      <c r="BJ10" s="9" t="s">
        <v>224</v>
      </c>
      <c r="BK10" s="9" t="s">
        <v>225</v>
      </c>
      <c r="BL10" s="9"/>
      <c r="BM10" s="9"/>
      <c r="BN10" s="9"/>
      <c r="BO10" s="9"/>
      <c r="BP10" s="9"/>
      <c r="BQ10" s="9"/>
      <c r="BR10" s="9"/>
      <c r="BS10" s="9"/>
      <c r="BT10" s="9"/>
      <c r="BU10" s="9"/>
      <c r="BV10" s="9"/>
      <c r="BW10" s="9"/>
      <c r="BX10" s="13">
        <v>1</v>
      </c>
    </row>
    <row r="11" spans="1:76" s="5" customFormat="1" ht="15.6" x14ac:dyDescent="0.3">
      <c r="A11" s="11" t="s">
        <v>128</v>
      </c>
      <c r="B11" s="10" t="s">
        <v>130</v>
      </c>
      <c r="C11" s="9" t="s">
        <v>226</v>
      </c>
      <c r="D11" s="9" t="s">
        <v>227</v>
      </c>
      <c r="E11" s="9" t="s">
        <v>228</v>
      </c>
      <c r="F11" s="9" t="s">
        <v>24</v>
      </c>
      <c r="G11" s="9" t="s">
        <v>229</v>
      </c>
      <c r="H11" s="9" t="s">
        <v>230</v>
      </c>
      <c r="I11" s="9" t="s">
        <v>23</v>
      </c>
      <c r="J11" s="9" t="s">
        <v>231</v>
      </c>
      <c r="K11" s="9" t="s">
        <v>232</v>
      </c>
      <c r="L11" s="9" t="s">
        <v>137</v>
      </c>
      <c r="M11" s="9" t="s">
        <v>138</v>
      </c>
      <c r="N11" s="9" t="s">
        <v>233</v>
      </c>
      <c r="O11" s="9" t="s">
        <v>137</v>
      </c>
      <c r="P11" s="9" t="s">
        <v>29</v>
      </c>
      <c r="Q11" s="9" t="s">
        <v>234</v>
      </c>
      <c r="R11" s="9" t="s">
        <v>50</v>
      </c>
      <c r="S11" s="9" t="s">
        <v>29</v>
      </c>
      <c r="T11" s="9" t="s">
        <v>63</v>
      </c>
      <c r="U11" s="9" t="s">
        <v>50</v>
      </c>
      <c r="V11" s="9" t="s">
        <v>236</v>
      </c>
      <c r="W11" s="9" t="s">
        <v>237</v>
      </c>
      <c r="X11" s="9" t="s">
        <v>238</v>
      </c>
      <c r="Y11" s="9" t="s">
        <v>23</v>
      </c>
      <c r="Z11" s="9" t="s">
        <v>239</v>
      </c>
      <c r="AA11" s="9" t="s">
        <v>13</v>
      </c>
      <c r="AB11" s="9" t="s">
        <v>15</v>
      </c>
      <c r="AC11" s="9" t="s">
        <v>78</v>
      </c>
      <c r="AD11" s="9" t="s">
        <v>32</v>
      </c>
      <c r="AE11" s="9" t="s">
        <v>98</v>
      </c>
      <c r="AF11" s="9" t="s">
        <v>240</v>
      </c>
      <c r="AG11" s="9" t="s">
        <v>241</v>
      </c>
      <c r="AH11" s="9" t="s">
        <v>23</v>
      </c>
      <c r="AI11" s="9" t="s">
        <v>231</v>
      </c>
      <c r="AJ11" s="9" t="s">
        <v>242</v>
      </c>
      <c r="AK11" s="9" t="s">
        <v>243</v>
      </c>
      <c r="AL11" s="9" t="s">
        <v>103</v>
      </c>
      <c r="AM11" s="9" t="s">
        <v>18</v>
      </c>
      <c r="AN11" s="9" t="s">
        <v>244</v>
      </c>
      <c r="AO11" s="9" t="s">
        <v>32</v>
      </c>
      <c r="AP11" s="9" t="s">
        <v>167</v>
      </c>
      <c r="AQ11" s="9" t="s">
        <v>23</v>
      </c>
      <c r="AR11" s="9" t="s">
        <v>245</v>
      </c>
      <c r="AS11" s="9" t="s">
        <v>241</v>
      </c>
      <c r="AT11" s="9" t="s">
        <v>246</v>
      </c>
      <c r="AU11" s="9" t="s">
        <v>247</v>
      </c>
      <c r="AV11" s="9" t="s">
        <v>248</v>
      </c>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13" t="s">
        <v>11</v>
      </c>
    </row>
    <row r="12" spans="1:76" s="5" customFormat="1" ht="15.6" x14ac:dyDescent="0.3">
      <c r="A12" s="11" t="s">
        <v>129</v>
      </c>
      <c r="B12" s="10" t="s">
        <v>158</v>
      </c>
      <c r="C12" s="9" t="s">
        <v>249</v>
      </c>
      <c r="D12" s="9" t="s">
        <v>32</v>
      </c>
      <c r="E12" s="9" t="s">
        <v>50</v>
      </c>
      <c r="F12" s="9" t="s">
        <v>250</v>
      </c>
      <c r="G12" s="9" t="s">
        <v>205</v>
      </c>
      <c r="H12" s="9" t="s">
        <v>18</v>
      </c>
      <c r="I12" s="9" t="s">
        <v>118</v>
      </c>
      <c r="J12" s="9" t="s">
        <v>251</v>
      </c>
      <c r="K12" s="9" t="s">
        <v>158</v>
      </c>
      <c r="L12" s="9" t="s">
        <v>252</v>
      </c>
      <c r="M12" s="9" t="s">
        <v>63</v>
      </c>
      <c r="N12" s="9" t="s">
        <v>253</v>
      </c>
      <c r="O12" s="9" t="s">
        <v>254</v>
      </c>
      <c r="P12" s="9" t="s">
        <v>15</v>
      </c>
      <c r="Q12" s="9" t="s">
        <v>18</v>
      </c>
      <c r="R12" s="9" t="s">
        <v>255</v>
      </c>
      <c r="S12" s="9" t="s">
        <v>29</v>
      </c>
      <c r="T12" s="9" t="s">
        <v>27</v>
      </c>
      <c r="U12" s="9" t="s">
        <v>256</v>
      </c>
      <c r="V12" s="9" t="s">
        <v>29</v>
      </c>
      <c r="W12" s="9" t="s">
        <v>105</v>
      </c>
      <c r="X12" s="9" t="s">
        <v>257</v>
      </c>
      <c r="Y12" s="9" t="s">
        <v>258</v>
      </c>
      <c r="Z12" s="9" t="s">
        <v>259</v>
      </c>
      <c r="AA12" s="9" t="s">
        <v>49</v>
      </c>
      <c r="AB12" s="9" t="s">
        <v>50</v>
      </c>
      <c r="AC12" s="9" t="s">
        <v>260</v>
      </c>
      <c r="AD12" s="9" t="s">
        <v>32</v>
      </c>
      <c r="AE12" s="9" t="s">
        <v>50</v>
      </c>
      <c r="AF12" s="9" t="s">
        <v>261</v>
      </c>
      <c r="AG12" s="9" t="s">
        <v>15</v>
      </c>
      <c r="AH12" s="9" t="s">
        <v>18</v>
      </c>
      <c r="AI12" s="9" t="s">
        <v>262</v>
      </c>
      <c r="AJ12" s="9" t="s">
        <v>47</v>
      </c>
      <c r="AK12" s="9" t="s">
        <v>263</v>
      </c>
      <c r="AL12" s="9" t="s">
        <v>185</v>
      </c>
      <c r="AM12" s="9" t="s">
        <v>56</v>
      </c>
      <c r="AN12" s="9" t="s">
        <v>50</v>
      </c>
      <c r="AO12" s="9" t="s">
        <v>264</v>
      </c>
      <c r="AP12" s="9" t="s">
        <v>29</v>
      </c>
      <c r="AQ12" s="9" t="s">
        <v>217</v>
      </c>
      <c r="AR12" s="9" t="s">
        <v>265</v>
      </c>
      <c r="AS12" s="9" t="s">
        <v>266</v>
      </c>
      <c r="AT12" s="9" t="s">
        <v>23</v>
      </c>
      <c r="AU12" s="9" t="s">
        <v>267</v>
      </c>
      <c r="AV12" s="9" t="s">
        <v>63</v>
      </c>
      <c r="AW12" s="9" t="s">
        <v>268</v>
      </c>
      <c r="AX12" s="9" t="s">
        <v>269</v>
      </c>
      <c r="AY12" s="9" t="s">
        <v>46</v>
      </c>
      <c r="AZ12" s="9" t="s">
        <v>65</v>
      </c>
      <c r="BA12" s="9"/>
      <c r="BB12" s="9"/>
      <c r="BC12" s="9"/>
      <c r="BD12" s="9"/>
      <c r="BE12" s="9"/>
      <c r="BF12" s="9"/>
      <c r="BG12" s="9"/>
      <c r="BH12" s="9"/>
      <c r="BI12" s="9"/>
      <c r="BJ12" s="9"/>
      <c r="BK12" s="9"/>
      <c r="BL12" s="9"/>
      <c r="BM12" s="9"/>
      <c r="BN12" s="9"/>
      <c r="BO12" s="9"/>
      <c r="BP12" s="9"/>
      <c r="BQ12" s="9"/>
      <c r="BR12" s="9"/>
      <c r="BS12" s="9"/>
      <c r="BT12" s="9"/>
      <c r="BU12" s="9"/>
      <c r="BV12" s="9"/>
      <c r="BW12" s="9"/>
      <c r="BX12" s="13" t="s">
        <v>11</v>
      </c>
    </row>
    <row r="15" spans="1:76" ht="15.6" x14ac:dyDescent="0.3">
      <c r="A15" s="7" t="s">
        <v>271</v>
      </c>
      <c r="B15" s="7" t="s">
        <v>272</v>
      </c>
      <c r="C15" s="12" t="s">
        <v>1</v>
      </c>
    </row>
    <row r="16" spans="1:76" ht="15.6" x14ac:dyDescent="0.3">
      <c r="A16" s="11" t="s">
        <v>54</v>
      </c>
      <c r="B16" s="11">
        <f t="shared" ref="B16:B25" si="0">COUNTIF(B3:BW3,"&lt;&gt;")</f>
        <v>46</v>
      </c>
      <c r="C16" s="13">
        <v>1</v>
      </c>
    </row>
    <row r="17" spans="1:76" ht="15.6" x14ac:dyDescent="0.3">
      <c r="A17" s="11" t="s">
        <v>55</v>
      </c>
      <c r="B17" s="11">
        <f t="shared" si="0"/>
        <v>40</v>
      </c>
      <c r="C17" s="13">
        <v>1</v>
      </c>
    </row>
    <row r="18" spans="1:76" ht="15.6" x14ac:dyDescent="0.3">
      <c r="A18" s="11" t="s">
        <v>83</v>
      </c>
      <c r="B18" s="11">
        <f t="shared" si="0"/>
        <v>74</v>
      </c>
      <c r="C18" s="13">
        <v>1</v>
      </c>
    </row>
    <row r="19" spans="1:76" ht="15.6" x14ac:dyDescent="0.3">
      <c r="A19" s="11" t="s">
        <v>123</v>
      </c>
      <c r="B19" s="11">
        <f t="shared" si="0"/>
        <v>26</v>
      </c>
      <c r="C19" s="13">
        <v>0</v>
      </c>
    </row>
    <row r="20" spans="1:76" ht="15.6" x14ac:dyDescent="0.3">
      <c r="A20" s="11" t="s">
        <v>124</v>
      </c>
      <c r="B20" s="11">
        <f t="shared" si="0"/>
        <v>30</v>
      </c>
      <c r="C20" s="13">
        <v>0</v>
      </c>
    </row>
    <row r="21" spans="1:76" ht="15.6" x14ac:dyDescent="0.3">
      <c r="A21" s="11" t="s">
        <v>125</v>
      </c>
      <c r="B21" s="11">
        <f t="shared" si="0"/>
        <v>46</v>
      </c>
      <c r="C21" s="13">
        <v>1</v>
      </c>
    </row>
    <row r="22" spans="1:76" ht="15.6" x14ac:dyDescent="0.3">
      <c r="A22" s="11" t="s">
        <v>126</v>
      </c>
      <c r="B22" s="11">
        <f t="shared" si="0"/>
        <v>25</v>
      </c>
      <c r="C22" s="13">
        <v>0</v>
      </c>
    </row>
    <row r="23" spans="1:76" ht="15.6" x14ac:dyDescent="0.3">
      <c r="A23" s="11" t="s">
        <v>127</v>
      </c>
      <c r="B23" s="11">
        <f t="shared" si="0"/>
        <v>62</v>
      </c>
      <c r="C23" s="13">
        <v>1</v>
      </c>
    </row>
    <row r="24" spans="1:76" ht="15.6" x14ac:dyDescent="0.3">
      <c r="A24" s="11" t="s">
        <v>128</v>
      </c>
      <c r="B24" s="11">
        <f t="shared" si="0"/>
        <v>47</v>
      </c>
      <c r="C24" s="13" t="s">
        <v>11</v>
      </c>
    </row>
    <row r="25" spans="1:76" ht="15.6" x14ac:dyDescent="0.3">
      <c r="A25" s="11" t="s">
        <v>129</v>
      </c>
      <c r="B25" s="11">
        <f t="shared" si="0"/>
        <v>51</v>
      </c>
      <c r="C25" s="13" t="s">
        <v>11</v>
      </c>
    </row>
    <row r="27" spans="1:76" ht="21" x14ac:dyDescent="0.4">
      <c r="A27" s="8" t="s">
        <v>321</v>
      </c>
      <c r="B27" s="8"/>
    </row>
    <row r="28" spans="1:76" ht="15.6" x14ac:dyDescent="0.3">
      <c r="A28" s="6" t="s">
        <v>316</v>
      </c>
      <c r="B28" s="56" t="s">
        <v>270</v>
      </c>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12" t="s">
        <v>1</v>
      </c>
    </row>
    <row r="29" spans="1:76" ht="15.6" x14ac:dyDescent="0.3">
      <c r="A29" s="11" t="s">
        <v>54</v>
      </c>
      <c r="B29" s="10" t="s">
        <v>13</v>
      </c>
      <c r="C29" s="9" t="s">
        <v>14</v>
      </c>
      <c r="D29" s="9" t="s">
        <v>15</v>
      </c>
      <c r="E29" s="9" t="s">
        <v>224</v>
      </c>
      <c r="F29" s="9" t="s">
        <v>274</v>
      </c>
      <c r="G29" s="9" t="s">
        <v>18</v>
      </c>
      <c r="H29" s="9" t="s">
        <v>19</v>
      </c>
      <c r="I29" s="9" t="s">
        <v>20</v>
      </c>
      <c r="J29" s="9" t="s">
        <v>21</v>
      </c>
      <c r="K29" s="9" t="s">
        <v>292</v>
      </c>
      <c r="L29" s="9" t="s">
        <v>23</v>
      </c>
      <c r="M29" s="9" t="s">
        <v>24</v>
      </c>
      <c r="N29" s="9" t="s">
        <v>14</v>
      </c>
      <c r="O29" s="9" t="s">
        <v>25</v>
      </c>
      <c r="P29" s="9" t="s">
        <v>26</v>
      </c>
      <c r="Q29" s="9" t="s">
        <v>27</v>
      </c>
      <c r="R29" s="9" t="s">
        <v>28</v>
      </c>
      <c r="S29" s="9" t="s">
        <v>29</v>
      </c>
      <c r="T29" s="9" t="s">
        <v>30</v>
      </c>
      <c r="U29" s="9" t="s">
        <v>31</v>
      </c>
      <c r="V29" s="9" t="s">
        <v>32</v>
      </c>
      <c r="W29" s="9" t="s">
        <v>293</v>
      </c>
      <c r="X29" s="9" t="s">
        <v>34</v>
      </c>
      <c r="Y29" s="9" t="s">
        <v>282</v>
      </c>
      <c r="Z29" s="9" t="s">
        <v>297</v>
      </c>
      <c r="AA29" s="9" t="s">
        <v>37</v>
      </c>
      <c r="AB29" s="9" t="s">
        <v>38</v>
      </c>
      <c r="AC29" s="9" t="s">
        <v>39</v>
      </c>
      <c r="AD29" s="9" t="s">
        <v>24</v>
      </c>
      <c r="AE29" s="9" t="s">
        <v>40</v>
      </c>
      <c r="AF29" s="9" t="s">
        <v>21</v>
      </c>
      <c r="AG29" s="9" t="s">
        <v>298</v>
      </c>
      <c r="AH29" s="9" t="s">
        <v>42</v>
      </c>
      <c r="AI29" s="9" t="s">
        <v>275</v>
      </c>
      <c r="AJ29" s="9" t="s">
        <v>44</v>
      </c>
      <c r="AK29" s="9" t="s">
        <v>45</v>
      </c>
      <c r="AL29" s="9" t="s">
        <v>46</v>
      </c>
      <c r="AM29" s="9" t="s">
        <v>47</v>
      </c>
      <c r="AN29" s="9" t="s">
        <v>48</v>
      </c>
      <c r="AO29" s="9" t="s">
        <v>49</v>
      </c>
      <c r="AP29" s="9" t="s">
        <v>50</v>
      </c>
      <c r="AQ29" s="9" t="s">
        <v>34</v>
      </c>
      <c r="AR29" s="9" t="s">
        <v>51</v>
      </c>
      <c r="AS29" s="9" t="s">
        <v>40</v>
      </c>
      <c r="AT29" s="9" t="s">
        <v>52</v>
      </c>
      <c r="AU29" s="9" t="s">
        <v>299</v>
      </c>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13">
        <v>1</v>
      </c>
    </row>
    <row r="30" spans="1:76" ht="15.6" x14ac:dyDescent="0.3">
      <c r="A30" s="11" t="s">
        <v>55</v>
      </c>
      <c r="B30" s="10" t="s">
        <v>47</v>
      </c>
      <c r="C30" s="9" t="s">
        <v>56</v>
      </c>
      <c r="D30" s="9" t="s">
        <v>24</v>
      </c>
      <c r="E30" s="9" t="s">
        <v>27</v>
      </c>
      <c r="F30" s="9" t="s">
        <v>46</v>
      </c>
      <c r="G30" s="9" t="s">
        <v>57</v>
      </c>
      <c r="H30" s="9" t="s">
        <v>58</v>
      </c>
      <c r="I30" s="9" t="s">
        <v>315</v>
      </c>
      <c r="J30" s="9" t="s">
        <v>60</v>
      </c>
      <c r="K30" s="9" t="s">
        <v>30</v>
      </c>
      <c r="L30" s="9" t="s">
        <v>31</v>
      </c>
      <c r="M30" s="9" t="s">
        <v>32</v>
      </c>
      <c r="N30" s="9" t="s">
        <v>61</v>
      </c>
      <c r="O30" s="9" t="s">
        <v>62</v>
      </c>
      <c r="P30" s="9" t="s">
        <v>63</v>
      </c>
      <c r="Q30" s="9" t="s">
        <v>64</v>
      </c>
      <c r="R30" s="9" t="s">
        <v>50</v>
      </c>
      <c r="S30" s="9" t="s">
        <v>300</v>
      </c>
      <c r="T30" s="9" t="s">
        <v>276</v>
      </c>
      <c r="U30" s="9" t="s">
        <v>67</v>
      </c>
      <c r="V30" s="9" t="s">
        <v>27</v>
      </c>
      <c r="W30" s="9" t="s">
        <v>68</v>
      </c>
      <c r="X30" s="9" t="s">
        <v>69</v>
      </c>
      <c r="Y30" s="9" t="s">
        <v>70</v>
      </c>
      <c r="Z30" s="9" t="s">
        <v>71</v>
      </c>
      <c r="AA30" s="9" t="s">
        <v>72</v>
      </c>
      <c r="AB30" s="9" t="s">
        <v>24</v>
      </c>
      <c r="AC30" s="9" t="s">
        <v>277</v>
      </c>
      <c r="AD30" s="9" t="s">
        <v>75</v>
      </c>
      <c r="AE30" s="9" t="s">
        <v>76</v>
      </c>
      <c r="AF30" s="9" t="s">
        <v>77</v>
      </c>
      <c r="AG30" s="9" t="s">
        <v>78</v>
      </c>
      <c r="AH30" s="9" t="s">
        <v>49</v>
      </c>
      <c r="AI30" s="9">
        <v>6</v>
      </c>
      <c r="AJ30" s="9" t="s">
        <v>79</v>
      </c>
      <c r="AK30" s="9" t="s">
        <v>80</v>
      </c>
      <c r="AL30" s="9" t="s">
        <v>71</v>
      </c>
      <c r="AM30" s="9" t="s">
        <v>81</v>
      </c>
      <c r="AN30" s="9" t="s">
        <v>24</v>
      </c>
      <c r="AO30" s="9" t="s">
        <v>14</v>
      </c>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13">
        <v>1</v>
      </c>
    </row>
    <row r="31" spans="1:76" ht="15.6" x14ac:dyDescent="0.3">
      <c r="A31" s="11" t="s">
        <v>83</v>
      </c>
      <c r="B31" s="10" t="s">
        <v>47</v>
      </c>
      <c r="C31" s="9" t="s">
        <v>84</v>
      </c>
      <c r="D31" s="9" t="s">
        <v>85</v>
      </c>
      <c r="E31" s="9" t="s">
        <v>24</v>
      </c>
      <c r="F31" s="9" t="s">
        <v>14</v>
      </c>
      <c r="G31" s="9" t="s">
        <v>70</v>
      </c>
      <c r="H31" s="9" t="s">
        <v>86</v>
      </c>
      <c r="I31" s="9" t="s">
        <v>87</v>
      </c>
      <c r="J31" s="9" t="s">
        <v>88</v>
      </c>
      <c r="K31" s="9" t="s">
        <v>301</v>
      </c>
      <c r="L31" s="9" t="s">
        <v>278</v>
      </c>
      <c r="M31" s="9" t="s">
        <v>18</v>
      </c>
      <c r="N31" s="9" t="s">
        <v>91</v>
      </c>
      <c r="O31" s="9" t="s">
        <v>23</v>
      </c>
      <c r="P31" s="9" t="s">
        <v>92</v>
      </c>
      <c r="Q31" s="9" t="s">
        <v>93</v>
      </c>
      <c r="R31" s="9" t="s">
        <v>29</v>
      </c>
      <c r="S31" s="9" t="s">
        <v>30</v>
      </c>
      <c r="T31" s="9" t="s">
        <v>31</v>
      </c>
      <c r="U31" s="9" t="s">
        <v>32</v>
      </c>
      <c r="V31" s="9" t="s">
        <v>80</v>
      </c>
      <c r="W31" s="9" t="s">
        <v>23</v>
      </c>
      <c r="X31" s="9" t="s">
        <v>94</v>
      </c>
      <c r="Y31" s="9" t="s">
        <v>95</v>
      </c>
      <c r="Z31" s="9" t="s">
        <v>96</v>
      </c>
      <c r="AA31" s="9" t="s">
        <v>23</v>
      </c>
      <c r="AB31" s="9" t="s">
        <v>80</v>
      </c>
      <c r="AC31" s="9" t="s">
        <v>47</v>
      </c>
      <c r="AD31" s="9" t="s">
        <v>97</v>
      </c>
      <c r="AE31" s="9" t="s">
        <v>98</v>
      </c>
      <c r="AF31" s="9" t="s">
        <v>34</v>
      </c>
      <c r="AG31" s="9" t="s">
        <v>100</v>
      </c>
      <c r="AH31" s="9" t="s">
        <v>26</v>
      </c>
      <c r="AI31" s="9" t="s">
        <v>28</v>
      </c>
      <c r="AJ31" s="9" t="s">
        <v>29</v>
      </c>
      <c r="AK31" s="9" t="s">
        <v>101</v>
      </c>
      <c r="AL31" s="9" t="s">
        <v>98</v>
      </c>
      <c r="AM31" s="9" t="s">
        <v>102</v>
      </c>
      <c r="AN31" s="9" t="s">
        <v>103</v>
      </c>
      <c r="AO31" s="9" t="s">
        <v>98</v>
      </c>
      <c r="AP31" s="9" t="s">
        <v>52</v>
      </c>
      <c r="AQ31" s="9" t="s">
        <v>13</v>
      </c>
      <c r="AR31" s="9" t="s">
        <v>105</v>
      </c>
      <c r="AS31" s="9" t="s">
        <v>15</v>
      </c>
      <c r="AT31" s="9" t="s">
        <v>91</v>
      </c>
      <c r="AU31" s="9" t="s">
        <v>40</v>
      </c>
      <c r="AV31" s="9" t="s">
        <v>98</v>
      </c>
      <c r="AW31" s="9" t="s">
        <v>106</v>
      </c>
      <c r="AX31" s="9" t="s">
        <v>107</v>
      </c>
      <c r="AY31" s="9" t="s">
        <v>108</v>
      </c>
      <c r="AZ31" s="9" t="s">
        <v>109</v>
      </c>
      <c r="BA31" s="9" t="s">
        <v>110</v>
      </c>
      <c r="BB31" s="9" t="s">
        <v>274</v>
      </c>
      <c r="BC31" s="9" t="s">
        <v>302</v>
      </c>
      <c r="BD31" s="9" t="s">
        <v>112</v>
      </c>
      <c r="BE31" s="9" t="s">
        <v>39</v>
      </c>
      <c r="BF31" s="9" t="s">
        <v>24</v>
      </c>
      <c r="BG31" s="9" t="s">
        <v>105</v>
      </c>
      <c r="BH31" s="9" t="s">
        <v>40</v>
      </c>
      <c r="BI31" s="9" t="s">
        <v>113</v>
      </c>
      <c r="BJ31" s="9" t="s">
        <v>114</v>
      </c>
      <c r="BK31" s="9" t="s">
        <v>32</v>
      </c>
      <c r="BL31" s="9" t="s">
        <v>115</v>
      </c>
      <c r="BM31" s="9" t="s">
        <v>116</v>
      </c>
      <c r="BN31" s="9" t="s">
        <v>40</v>
      </c>
      <c r="BO31" s="9" t="s">
        <v>117</v>
      </c>
      <c r="BP31" s="9" t="s">
        <v>103</v>
      </c>
      <c r="BQ31" s="9" t="s">
        <v>118</v>
      </c>
      <c r="BR31" s="9" t="s">
        <v>119</v>
      </c>
      <c r="BS31" s="9" t="s">
        <v>120</v>
      </c>
      <c r="BT31" s="9" t="s">
        <v>18</v>
      </c>
      <c r="BU31" s="9" t="s">
        <v>121</v>
      </c>
      <c r="BV31" s="9" t="s">
        <v>32</v>
      </c>
      <c r="BW31" s="9" t="s">
        <v>303</v>
      </c>
      <c r="BX31" s="13">
        <v>1</v>
      </c>
    </row>
    <row r="32" spans="1:76" ht="15.6" x14ac:dyDescent="0.3">
      <c r="A32" s="11" t="s">
        <v>123</v>
      </c>
      <c r="B32" s="10" t="s">
        <v>130</v>
      </c>
      <c r="C32" s="9" t="s">
        <v>131</v>
      </c>
      <c r="D32" s="9" t="s">
        <v>132</v>
      </c>
      <c r="E32" s="9" t="s">
        <v>24</v>
      </c>
      <c r="F32" s="9" t="s">
        <v>133</v>
      </c>
      <c r="G32" s="9" t="s">
        <v>134</v>
      </c>
      <c r="H32" s="9" t="s">
        <v>135</v>
      </c>
      <c r="I32" s="9" t="s">
        <v>136</v>
      </c>
      <c r="J32" s="9" t="s">
        <v>137</v>
      </c>
      <c r="K32" s="9" t="s">
        <v>26</v>
      </c>
      <c r="L32" s="9" t="s">
        <v>283</v>
      </c>
      <c r="M32" s="9" t="s">
        <v>86</v>
      </c>
      <c r="N32" s="9" t="s">
        <v>136</v>
      </c>
      <c r="O32" s="9" t="s">
        <v>137</v>
      </c>
      <c r="P32" s="9" t="s">
        <v>140</v>
      </c>
      <c r="Q32" s="9" t="s">
        <v>26</v>
      </c>
      <c r="R32" s="9" t="s">
        <v>63</v>
      </c>
      <c r="S32" s="9" t="s">
        <v>50</v>
      </c>
      <c r="T32" s="9" t="s">
        <v>304</v>
      </c>
      <c r="U32" s="9" t="s">
        <v>284</v>
      </c>
      <c r="V32" s="9" t="s">
        <v>26</v>
      </c>
      <c r="W32" s="9" t="s">
        <v>143</v>
      </c>
      <c r="X32" s="9" t="s">
        <v>144</v>
      </c>
      <c r="Y32" s="9" t="s">
        <v>145</v>
      </c>
      <c r="Z32" s="9" t="s">
        <v>40</v>
      </c>
      <c r="AA32" s="9" t="s">
        <v>305</v>
      </c>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13">
        <v>0</v>
      </c>
    </row>
    <row r="33" spans="1:76" ht="15.6" x14ac:dyDescent="0.3">
      <c r="A33" s="11" t="s">
        <v>124</v>
      </c>
      <c r="B33" s="10" t="s">
        <v>273</v>
      </c>
      <c r="C33" s="9" t="s">
        <v>148</v>
      </c>
      <c r="D33" s="9" t="s">
        <v>149</v>
      </c>
      <c r="E33" s="9" t="s">
        <v>285</v>
      </c>
      <c r="F33" s="9" t="s">
        <v>86</v>
      </c>
      <c r="G33" s="9" t="s">
        <v>87</v>
      </c>
      <c r="H33" s="9" t="s">
        <v>38</v>
      </c>
      <c r="I33" s="9" t="s">
        <v>151</v>
      </c>
      <c r="J33" s="9" t="s">
        <v>152</v>
      </c>
      <c r="K33" s="9" t="s">
        <v>63</v>
      </c>
      <c r="L33" s="9" t="s">
        <v>98</v>
      </c>
      <c r="M33" s="9" t="s">
        <v>153</v>
      </c>
      <c r="N33" s="9" t="s">
        <v>154</v>
      </c>
      <c r="O33" s="9" t="s">
        <v>29</v>
      </c>
      <c r="P33" s="9" t="s">
        <v>56</v>
      </c>
      <c r="Q33" s="9" t="s">
        <v>24</v>
      </c>
      <c r="R33" s="9" t="s">
        <v>155</v>
      </c>
      <c r="S33" s="9" t="s">
        <v>156</v>
      </c>
      <c r="T33" s="9" t="s">
        <v>133</v>
      </c>
      <c r="U33" s="9" t="s">
        <v>158</v>
      </c>
      <c r="V33" s="9" t="s">
        <v>159</v>
      </c>
      <c r="W33" s="9" t="s">
        <v>160</v>
      </c>
      <c r="X33" s="9" t="s">
        <v>161</v>
      </c>
      <c r="Y33" s="9" t="s">
        <v>29</v>
      </c>
      <c r="Z33" s="9" t="s">
        <v>162</v>
      </c>
      <c r="AA33" s="9" t="s">
        <v>163</v>
      </c>
      <c r="AB33" s="9" t="s">
        <v>49</v>
      </c>
      <c r="AC33" s="9" t="s">
        <v>164</v>
      </c>
      <c r="AD33" s="9" t="s">
        <v>29</v>
      </c>
      <c r="AE33" s="9" t="s">
        <v>144</v>
      </c>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13">
        <v>0</v>
      </c>
    </row>
    <row r="34" spans="1:76" ht="15.6" x14ac:dyDescent="0.3">
      <c r="A34" s="11" t="s">
        <v>125</v>
      </c>
      <c r="B34" s="14" t="s">
        <v>13</v>
      </c>
      <c r="C34" s="9" t="s">
        <v>15</v>
      </c>
      <c r="D34" s="9" t="s">
        <v>50</v>
      </c>
      <c r="E34" s="9" t="s">
        <v>166</v>
      </c>
      <c r="F34" s="9" t="s">
        <v>93</v>
      </c>
      <c r="G34" s="9" t="s">
        <v>29</v>
      </c>
      <c r="H34" s="9" t="s">
        <v>30</v>
      </c>
      <c r="I34" s="9" t="s">
        <v>31</v>
      </c>
      <c r="J34" s="9" t="s">
        <v>32</v>
      </c>
      <c r="K34" s="9" t="s">
        <v>80</v>
      </c>
      <c r="L34" s="9" t="s">
        <v>149</v>
      </c>
      <c r="M34" s="9" t="s">
        <v>167</v>
      </c>
      <c r="N34" s="9" t="s">
        <v>96</v>
      </c>
      <c r="O34" s="9" t="s">
        <v>286</v>
      </c>
      <c r="P34" s="9" t="s">
        <v>287</v>
      </c>
      <c r="Q34" s="9" t="s">
        <v>171</v>
      </c>
      <c r="R34" s="9" t="s">
        <v>18</v>
      </c>
      <c r="S34" s="9" t="s">
        <v>288</v>
      </c>
      <c r="T34" s="9" t="s">
        <v>306</v>
      </c>
      <c r="U34" s="9" t="s">
        <v>278</v>
      </c>
      <c r="V34" s="9" t="s">
        <v>173</v>
      </c>
      <c r="W34" s="9" t="s">
        <v>18</v>
      </c>
      <c r="X34" s="9" t="s">
        <v>91</v>
      </c>
      <c r="Y34" s="9" t="s">
        <v>93</v>
      </c>
      <c r="Z34" s="9" t="s">
        <v>29</v>
      </c>
      <c r="AA34" s="9" t="s">
        <v>30</v>
      </c>
      <c r="AB34" s="9" t="s">
        <v>31</v>
      </c>
      <c r="AC34" s="9" t="s">
        <v>32</v>
      </c>
      <c r="AD34" s="9" t="s">
        <v>174</v>
      </c>
      <c r="AE34" s="9" t="s">
        <v>175</v>
      </c>
      <c r="AF34" s="9" t="s">
        <v>167</v>
      </c>
      <c r="AG34" s="9" t="s">
        <v>176</v>
      </c>
      <c r="AH34" s="9" t="s">
        <v>63</v>
      </c>
      <c r="AI34" s="9" t="s">
        <v>47</v>
      </c>
      <c r="AJ34" s="9" t="s">
        <v>178</v>
      </c>
      <c r="AK34" s="11" t="s">
        <v>24</v>
      </c>
      <c r="AL34" s="11" t="s">
        <v>29</v>
      </c>
      <c r="AM34" s="11" t="s">
        <v>113</v>
      </c>
      <c r="AN34" s="11" t="s">
        <v>179</v>
      </c>
      <c r="AO34" s="11" t="s">
        <v>180</v>
      </c>
      <c r="AP34" s="11" t="s">
        <v>307</v>
      </c>
      <c r="AQ34" s="9" t="s">
        <v>182</v>
      </c>
      <c r="AR34" s="9" t="s">
        <v>275</v>
      </c>
      <c r="AS34" s="9" t="s">
        <v>18</v>
      </c>
      <c r="AT34" s="9" t="s">
        <v>91</v>
      </c>
      <c r="AU34" s="9" t="s">
        <v>294</v>
      </c>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13">
        <v>1</v>
      </c>
    </row>
    <row r="35" spans="1:76" ht="15.6" x14ac:dyDescent="0.3">
      <c r="A35" s="11" t="s">
        <v>126</v>
      </c>
      <c r="B35" s="10" t="s">
        <v>184</v>
      </c>
      <c r="C35" s="9" t="s">
        <v>15</v>
      </c>
      <c r="D35" s="9" t="s">
        <v>185</v>
      </c>
      <c r="E35" s="9" t="s">
        <v>186</v>
      </c>
      <c r="F35" s="9" t="s">
        <v>23</v>
      </c>
      <c r="G35" s="9" t="s">
        <v>308</v>
      </c>
      <c r="H35" s="9" t="s">
        <v>188</v>
      </c>
      <c r="I35" s="9" t="s">
        <v>49</v>
      </c>
      <c r="J35" s="9" t="s">
        <v>113</v>
      </c>
      <c r="K35" s="9" t="s">
        <v>26</v>
      </c>
      <c r="L35" s="9" t="s">
        <v>190</v>
      </c>
      <c r="M35" s="9" t="s">
        <v>185</v>
      </c>
      <c r="N35" s="9" t="s">
        <v>61</v>
      </c>
      <c r="O35" s="9" t="s">
        <v>15</v>
      </c>
      <c r="P35" s="9" t="s">
        <v>191</v>
      </c>
      <c r="Q35" s="9" t="s">
        <v>23</v>
      </c>
      <c r="R35" s="9" t="s">
        <v>192</v>
      </c>
      <c r="S35" s="9" t="s">
        <v>193</v>
      </c>
      <c r="T35" s="9" t="s">
        <v>194</v>
      </c>
      <c r="U35" s="9" t="s">
        <v>63</v>
      </c>
      <c r="V35" s="9" t="s">
        <v>61</v>
      </c>
      <c r="W35" s="9" t="s">
        <v>88</v>
      </c>
      <c r="X35" s="9" t="s">
        <v>317</v>
      </c>
      <c r="Y35" s="9" t="s">
        <v>318</v>
      </c>
      <c r="Z35" s="9" t="s">
        <v>80</v>
      </c>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13">
        <v>0</v>
      </c>
    </row>
    <row r="36" spans="1:76" ht="15.6" x14ac:dyDescent="0.3">
      <c r="A36" s="11" t="s">
        <v>127</v>
      </c>
      <c r="B36" s="10" t="s">
        <v>195</v>
      </c>
      <c r="C36" s="9" t="s">
        <v>196</v>
      </c>
      <c r="D36" s="9" t="s">
        <v>197</v>
      </c>
      <c r="E36" s="9" t="s">
        <v>198</v>
      </c>
      <c r="F36" s="9" t="s">
        <v>40</v>
      </c>
      <c r="G36" s="9" t="s">
        <v>57</v>
      </c>
      <c r="H36" s="9">
        <v>15</v>
      </c>
      <c r="I36" s="9" t="s">
        <v>309</v>
      </c>
      <c r="J36" s="9" t="s">
        <v>200</v>
      </c>
      <c r="K36" s="9" t="s">
        <v>136</v>
      </c>
      <c r="L36" s="9" t="s">
        <v>23</v>
      </c>
      <c r="M36" s="9">
        <v>4</v>
      </c>
      <c r="N36" s="9" t="s">
        <v>310</v>
      </c>
      <c r="O36" s="9" t="s">
        <v>200</v>
      </c>
      <c r="P36" s="9" t="s">
        <v>87</v>
      </c>
      <c r="Q36" s="9" t="s">
        <v>195</v>
      </c>
      <c r="R36" s="9" t="s">
        <v>203</v>
      </c>
      <c r="S36" s="9" t="s">
        <v>295</v>
      </c>
      <c r="T36" s="9" t="s">
        <v>204</v>
      </c>
      <c r="U36" s="9" t="s">
        <v>205</v>
      </c>
      <c r="V36" s="9" t="s">
        <v>206</v>
      </c>
      <c r="W36" s="9" t="s">
        <v>174</v>
      </c>
      <c r="X36" s="9" t="s">
        <v>15</v>
      </c>
      <c r="Y36" s="9" t="s">
        <v>207</v>
      </c>
      <c r="Z36" s="9" t="s">
        <v>40</v>
      </c>
      <c r="AA36" s="9" t="s">
        <v>57</v>
      </c>
      <c r="AB36" s="9" t="s">
        <v>136</v>
      </c>
      <c r="AC36" s="9" t="s">
        <v>29</v>
      </c>
      <c r="AD36" s="9" t="s">
        <v>208</v>
      </c>
      <c r="AE36" s="9" t="s">
        <v>209</v>
      </c>
      <c r="AF36" s="9" t="s">
        <v>50</v>
      </c>
      <c r="AG36" s="9" t="s">
        <v>198</v>
      </c>
      <c r="AH36" s="9" t="s">
        <v>29</v>
      </c>
      <c r="AI36" s="9" t="s">
        <v>210</v>
      </c>
      <c r="AJ36" s="9" t="s">
        <v>50</v>
      </c>
      <c r="AK36" s="9" t="s">
        <v>211</v>
      </c>
      <c r="AL36" s="9" t="s">
        <v>78</v>
      </c>
      <c r="AM36" s="9" t="s">
        <v>212</v>
      </c>
      <c r="AN36" s="9" t="s">
        <v>213</v>
      </c>
      <c r="AO36" s="9" t="s">
        <v>60</v>
      </c>
      <c r="AP36" s="9" t="s">
        <v>214</v>
      </c>
      <c r="AQ36" s="9" t="s">
        <v>78</v>
      </c>
      <c r="AR36" s="9" t="s">
        <v>63</v>
      </c>
      <c r="AS36" s="9" t="s">
        <v>215</v>
      </c>
      <c r="AT36" s="9" t="s">
        <v>32</v>
      </c>
      <c r="AU36" s="9" t="s">
        <v>50</v>
      </c>
      <c r="AV36" s="9" t="s">
        <v>216</v>
      </c>
      <c r="AW36" s="9" t="s">
        <v>29</v>
      </c>
      <c r="AX36" s="9" t="s">
        <v>217</v>
      </c>
      <c r="AY36" s="9" t="s">
        <v>18</v>
      </c>
      <c r="AZ36" s="9" t="s">
        <v>311</v>
      </c>
      <c r="BA36" s="9" t="s">
        <v>219</v>
      </c>
      <c r="BB36" s="9" t="s">
        <v>19</v>
      </c>
      <c r="BC36" s="9" t="s">
        <v>198</v>
      </c>
      <c r="BD36" s="9" t="s">
        <v>182</v>
      </c>
      <c r="BE36" s="9" t="s">
        <v>213</v>
      </c>
      <c r="BF36" s="9" t="s">
        <v>279</v>
      </c>
      <c r="BG36" s="9" t="s">
        <v>222</v>
      </c>
      <c r="BH36" s="9" t="s">
        <v>320</v>
      </c>
      <c r="BI36" s="9" t="s">
        <v>18</v>
      </c>
      <c r="BJ36" s="9" t="s">
        <v>224</v>
      </c>
      <c r="BK36" s="9" t="s">
        <v>296</v>
      </c>
      <c r="BL36" s="9"/>
      <c r="BM36" s="9"/>
      <c r="BN36" s="9"/>
      <c r="BO36" s="9"/>
      <c r="BP36" s="9"/>
      <c r="BQ36" s="9"/>
      <c r="BR36" s="9"/>
      <c r="BS36" s="9"/>
      <c r="BT36" s="9"/>
      <c r="BU36" s="9"/>
      <c r="BV36" s="9"/>
      <c r="BW36" s="9"/>
      <c r="BX36" s="13">
        <v>1</v>
      </c>
    </row>
    <row r="37" spans="1:76" ht="15.6" x14ac:dyDescent="0.3">
      <c r="A37" s="11" t="s">
        <v>128</v>
      </c>
      <c r="B37" s="10" t="s">
        <v>130</v>
      </c>
      <c r="C37" s="9" t="s">
        <v>280</v>
      </c>
      <c r="D37" s="9" t="s">
        <v>227</v>
      </c>
      <c r="E37" s="9" t="s">
        <v>228</v>
      </c>
      <c r="F37" s="9" t="s">
        <v>24</v>
      </c>
      <c r="G37" s="9" t="s">
        <v>229</v>
      </c>
      <c r="H37" s="9" t="s">
        <v>230</v>
      </c>
      <c r="I37" s="9" t="s">
        <v>23</v>
      </c>
      <c r="J37" s="9" t="s">
        <v>231</v>
      </c>
      <c r="K37" s="9" t="s">
        <v>232</v>
      </c>
      <c r="L37" s="9" t="s">
        <v>137</v>
      </c>
      <c r="M37" s="9" t="s">
        <v>26</v>
      </c>
      <c r="N37" s="9" t="s">
        <v>233</v>
      </c>
      <c r="O37" s="9" t="s">
        <v>137</v>
      </c>
      <c r="P37" s="9" t="s">
        <v>29</v>
      </c>
      <c r="Q37" s="9" t="s">
        <v>234</v>
      </c>
      <c r="R37" s="9" t="s">
        <v>50</v>
      </c>
      <c r="S37" s="9" t="s">
        <v>235</v>
      </c>
      <c r="T37" s="9" t="s">
        <v>63</v>
      </c>
      <c r="U37" s="9" t="s">
        <v>50</v>
      </c>
      <c r="V37" s="9" t="s">
        <v>236</v>
      </c>
      <c r="W37" s="9" t="s">
        <v>237</v>
      </c>
      <c r="X37" s="9" t="s">
        <v>238</v>
      </c>
      <c r="Y37" s="9" t="s">
        <v>23</v>
      </c>
      <c r="Z37" s="9" t="s">
        <v>312</v>
      </c>
      <c r="AA37" s="9" t="s">
        <v>13</v>
      </c>
      <c r="AB37" s="9" t="s">
        <v>15</v>
      </c>
      <c r="AC37" s="9" t="s">
        <v>78</v>
      </c>
      <c r="AD37" s="9" t="s">
        <v>32</v>
      </c>
      <c r="AE37" s="9" t="s">
        <v>98</v>
      </c>
      <c r="AF37" s="9" t="s">
        <v>240</v>
      </c>
      <c r="AG37" s="9" t="s">
        <v>241</v>
      </c>
      <c r="AH37" s="9" t="s">
        <v>23</v>
      </c>
      <c r="AI37" s="9" t="s">
        <v>231</v>
      </c>
      <c r="AJ37" s="9" t="s">
        <v>281</v>
      </c>
      <c r="AK37" s="9" t="s">
        <v>243</v>
      </c>
      <c r="AL37" s="9" t="s">
        <v>103</v>
      </c>
      <c r="AM37" s="9" t="s">
        <v>18</v>
      </c>
      <c r="AN37" s="9" t="s">
        <v>244</v>
      </c>
      <c r="AO37" s="9" t="s">
        <v>32</v>
      </c>
      <c r="AP37" s="9" t="s">
        <v>167</v>
      </c>
      <c r="AQ37" s="9" t="s">
        <v>23</v>
      </c>
      <c r="AR37" s="9" t="s">
        <v>245</v>
      </c>
      <c r="AS37" s="9" t="s">
        <v>241</v>
      </c>
      <c r="AT37" s="9" t="s">
        <v>171</v>
      </c>
      <c r="AU37" s="9" t="s">
        <v>247</v>
      </c>
      <c r="AV37" s="9" t="s">
        <v>28</v>
      </c>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13" t="s">
        <v>11</v>
      </c>
    </row>
    <row r="38" spans="1:76" ht="15.6" x14ac:dyDescent="0.3">
      <c r="A38" s="11" t="s">
        <v>129</v>
      </c>
      <c r="B38" s="10" t="s">
        <v>158</v>
      </c>
      <c r="C38" s="9" t="s">
        <v>249</v>
      </c>
      <c r="D38" s="9" t="s">
        <v>32</v>
      </c>
      <c r="E38" s="9" t="s">
        <v>50</v>
      </c>
      <c r="F38" s="9" t="s">
        <v>250</v>
      </c>
      <c r="G38" s="9" t="s">
        <v>205</v>
      </c>
      <c r="H38" s="9" t="s">
        <v>18</v>
      </c>
      <c r="I38" s="9" t="s">
        <v>118</v>
      </c>
      <c r="J38" s="9" t="s">
        <v>313</v>
      </c>
      <c r="K38" s="9" t="s">
        <v>158</v>
      </c>
      <c r="L38" s="9" t="s">
        <v>252</v>
      </c>
      <c r="M38" s="9" t="s">
        <v>63</v>
      </c>
      <c r="N38" s="9" t="s">
        <v>253</v>
      </c>
      <c r="O38" s="9" t="s">
        <v>254</v>
      </c>
      <c r="P38" s="9" t="s">
        <v>15</v>
      </c>
      <c r="Q38" s="9" t="s">
        <v>18</v>
      </c>
      <c r="R38" s="9" t="s">
        <v>255</v>
      </c>
      <c r="S38" s="9" t="s">
        <v>289</v>
      </c>
      <c r="T38" s="9" t="s">
        <v>27</v>
      </c>
      <c r="U38" s="9" t="s">
        <v>256</v>
      </c>
      <c r="V38" s="9" t="s">
        <v>29</v>
      </c>
      <c r="W38" s="9" t="s">
        <v>105</v>
      </c>
      <c r="X38" s="9" t="s">
        <v>290</v>
      </c>
      <c r="Y38" s="9" t="s">
        <v>291</v>
      </c>
      <c r="Z38" s="9" t="s">
        <v>259</v>
      </c>
      <c r="AA38" s="9" t="s">
        <v>49</v>
      </c>
      <c r="AB38" s="9" t="s">
        <v>50</v>
      </c>
      <c r="AC38" s="9" t="s">
        <v>260</v>
      </c>
      <c r="AD38" s="9" t="s">
        <v>32</v>
      </c>
      <c r="AE38" s="9" t="s">
        <v>50</v>
      </c>
      <c r="AF38" s="9" t="s">
        <v>261</v>
      </c>
      <c r="AG38" s="9" t="s">
        <v>15</v>
      </c>
      <c r="AH38" s="9" t="s">
        <v>18</v>
      </c>
      <c r="AI38" s="9" t="s">
        <v>314</v>
      </c>
      <c r="AJ38" s="9" t="s">
        <v>47</v>
      </c>
      <c r="AK38" s="9" t="s">
        <v>263</v>
      </c>
      <c r="AL38" s="9" t="s">
        <v>185</v>
      </c>
      <c r="AM38" s="9" t="s">
        <v>56</v>
      </c>
      <c r="AN38" s="9" t="s">
        <v>50</v>
      </c>
      <c r="AO38" s="9" t="s">
        <v>264</v>
      </c>
      <c r="AP38" s="9" t="s">
        <v>29</v>
      </c>
      <c r="AQ38" s="9" t="s">
        <v>217</v>
      </c>
      <c r="AR38" s="9" t="s">
        <v>265</v>
      </c>
      <c r="AS38" s="9" t="s">
        <v>266</v>
      </c>
      <c r="AT38" s="9" t="s">
        <v>23</v>
      </c>
      <c r="AU38" s="9" t="s">
        <v>267</v>
      </c>
      <c r="AV38" s="9" t="s">
        <v>63</v>
      </c>
      <c r="AW38" s="9" t="s">
        <v>268</v>
      </c>
      <c r="AX38" s="9" t="s">
        <v>269</v>
      </c>
      <c r="AY38" s="9" t="s">
        <v>46</v>
      </c>
      <c r="AZ38" s="9" t="s">
        <v>300</v>
      </c>
      <c r="BA38" s="9"/>
      <c r="BB38" s="9"/>
      <c r="BC38" s="9"/>
      <c r="BD38" s="9"/>
      <c r="BE38" s="9"/>
      <c r="BF38" s="9"/>
      <c r="BG38" s="9"/>
      <c r="BH38" s="9"/>
      <c r="BI38" s="9"/>
      <c r="BJ38" s="9"/>
      <c r="BK38" s="9"/>
      <c r="BL38" s="9"/>
      <c r="BM38" s="9"/>
      <c r="BN38" s="9"/>
      <c r="BO38" s="9"/>
      <c r="BP38" s="9"/>
      <c r="BQ38" s="9"/>
      <c r="BR38" s="9"/>
      <c r="BS38" s="9"/>
      <c r="BT38" s="9"/>
      <c r="BU38" s="9"/>
      <c r="BV38" s="9"/>
      <c r="BW38" s="9"/>
      <c r="BX38" s="13" t="s">
        <v>11</v>
      </c>
    </row>
    <row r="40" spans="1:76" ht="21" x14ac:dyDescent="0.4">
      <c r="A40" s="8" t="s">
        <v>328</v>
      </c>
      <c r="B40" s="8"/>
    </row>
    <row r="41" spans="1:76" ht="15.6" x14ac:dyDescent="0.3">
      <c r="A41" s="6" t="s">
        <v>316</v>
      </c>
      <c r="B41" s="56" t="s">
        <v>270</v>
      </c>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12" t="s">
        <v>1</v>
      </c>
    </row>
    <row r="42" spans="1:76" ht="15.6" x14ac:dyDescent="0.3">
      <c r="A42" s="11" t="s">
        <v>54</v>
      </c>
      <c r="B42" s="10"/>
      <c r="C42" s="9" t="s">
        <v>14</v>
      </c>
      <c r="D42" s="9"/>
      <c r="E42" s="9" t="s">
        <v>224</v>
      </c>
      <c r="F42" s="9"/>
      <c r="G42" s="9"/>
      <c r="H42" s="9" t="s">
        <v>19</v>
      </c>
      <c r="I42" s="9" t="s">
        <v>20</v>
      </c>
      <c r="J42" s="9" t="s">
        <v>21</v>
      </c>
      <c r="K42" s="9" t="s">
        <v>292</v>
      </c>
      <c r="L42" s="9"/>
      <c r="M42" s="9"/>
      <c r="N42" s="9" t="s">
        <v>14</v>
      </c>
      <c r="O42" s="9" t="s">
        <v>25</v>
      </c>
      <c r="P42" s="9"/>
      <c r="Q42" s="9"/>
      <c r="R42" s="9" t="s">
        <v>28</v>
      </c>
      <c r="S42" s="9"/>
      <c r="T42" s="9" t="s">
        <v>30</v>
      </c>
      <c r="U42" s="9" t="s">
        <v>31</v>
      </c>
      <c r="V42" s="9"/>
      <c r="W42" s="9" t="s">
        <v>293</v>
      </c>
      <c r="X42" s="9" t="s">
        <v>34</v>
      </c>
      <c r="Y42" s="9" t="s">
        <v>282</v>
      </c>
      <c r="Z42" s="9" t="s">
        <v>297</v>
      </c>
      <c r="AA42" s="9" t="s">
        <v>37</v>
      </c>
      <c r="AB42" s="9"/>
      <c r="AC42" s="9" t="s">
        <v>39</v>
      </c>
      <c r="AD42" s="9"/>
      <c r="AE42" s="9"/>
      <c r="AF42" s="9" t="s">
        <v>21</v>
      </c>
      <c r="AG42" s="9" t="s">
        <v>298</v>
      </c>
      <c r="AH42" s="9" t="s">
        <v>42</v>
      </c>
      <c r="AI42" s="9"/>
      <c r="AJ42" s="9" t="s">
        <v>44</v>
      </c>
      <c r="AK42" s="9" t="s">
        <v>45</v>
      </c>
      <c r="AL42" s="9"/>
      <c r="AM42" s="9"/>
      <c r="AN42" s="9" t="s">
        <v>48</v>
      </c>
      <c r="AO42" s="9"/>
      <c r="AP42" s="9"/>
      <c r="AQ42" s="9" t="s">
        <v>34</v>
      </c>
      <c r="AR42" s="9" t="s">
        <v>51</v>
      </c>
      <c r="AS42" s="9"/>
      <c r="AT42" s="9" t="s">
        <v>52</v>
      </c>
      <c r="AU42" s="9" t="s">
        <v>299</v>
      </c>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13">
        <v>1</v>
      </c>
    </row>
    <row r="43" spans="1:76" ht="15.6" x14ac:dyDescent="0.3">
      <c r="A43" s="11" t="s">
        <v>55</v>
      </c>
      <c r="B43" s="10"/>
      <c r="C43" s="9" t="s">
        <v>56</v>
      </c>
      <c r="D43" s="9"/>
      <c r="E43" s="9"/>
      <c r="F43" s="9"/>
      <c r="G43" s="9"/>
      <c r="H43" s="9" t="s">
        <v>58</v>
      </c>
      <c r="I43" s="9" t="s">
        <v>315</v>
      </c>
      <c r="J43" s="9"/>
      <c r="K43" s="9" t="s">
        <v>30</v>
      </c>
      <c r="L43" s="9" t="s">
        <v>31</v>
      </c>
      <c r="M43" s="9"/>
      <c r="N43" s="9"/>
      <c r="O43" s="9"/>
      <c r="P43" s="9"/>
      <c r="Q43" s="9"/>
      <c r="R43" s="9"/>
      <c r="S43" s="9" t="s">
        <v>300</v>
      </c>
      <c r="T43" s="9"/>
      <c r="U43" s="9" t="s">
        <v>67</v>
      </c>
      <c r="V43" s="9"/>
      <c r="W43" s="9" t="s">
        <v>68</v>
      </c>
      <c r="X43" s="9" t="s">
        <v>69</v>
      </c>
      <c r="Y43" s="9"/>
      <c r="Z43" s="9"/>
      <c r="AA43" s="9" t="s">
        <v>72</v>
      </c>
      <c r="AB43" s="9"/>
      <c r="AC43" s="9"/>
      <c r="AD43" s="9" t="s">
        <v>75</v>
      </c>
      <c r="AE43" s="9"/>
      <c r="AF43" s="9" t="s">
        <v>77</v>
      </c>
      <c r="AG43" s="9"/>
      <c r="AH43" s="9"/>
      <c r="AI43" s="9"/>
      <c r="AJ43" s="9" t="s">
        <v>79</v>
      </c>
      <c r="AK43" s="9"/>
      <c r="AL43" s="9"/>
      <c r="AM43" s="9" t="s">
        <v>81</v>
      </c>
      <c r="AN43" s="9"/>
      <c r="AO43" s="9" t="s">
        <v>14</v>
      </c>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13">
        <v>1</v>
      </c>
    </row>
    <row r="44" spans="1:76" ht="15.6" x14ac:dyDescent="0.3">
      <c r="A44" s="11" t="s">
        <v>83</v>
      </c>
      <c r="B44" s="10"/>
      <c r="C44" s="9"/>
      <c r="D44" s="9" t="s">
        <v>85</v>
      </c>
      <c r="E44" s="9"/>
      <c r="F44" s="9" t="s">
        <v>14</v>
      </c>
      <c r="G44" s="9" t="s">
        <v>70</v>
      </c>
      <c r="I44" s="9" t="s">
        <v>87</v>
      </c>
      <c r="J44" s="9"/>
      <c r="K44" s="9" t="s">
        <v>301</v>
      </c>
      <c r="L44" s="9"/>
      <c r="M44" s="9"/>
      <c r="N44" s="9" t="s">
        <v>91</v>
      </c>
      <c r="O44" s="9"/>
      <c r="P44" s="9" t="s">
        <v>92</v>
      </c>
      <c r="Q44" s="9" t="s">
        <v>93</v>
      </c>
      <c r="R44" s="9"/>
      <c r="S44" s="9" t="s">
        <v>30</v>
      </c>
      <c r="T44" s="9" t="s">
        <v>31</v>
      </c>
      <c r="U44" s="9"/>
      <c r="V44" s="9"/>
      <c r="W44" s="9"/>
      <c r="X44" s="9"/>
      <c r="Y44" s="9"/>
      <c r="Z44" s="9" t="s">
        <v>96</v>
      </c>
      <c r="AA44" s="9"/>
      <c r="AB44" s="9"/>
      <c r="AC44" s="9"/>
      <c r="AD44" s="9" t="s">
        <v>97</v>
      </c>
      <c r="AE44" s="9"/>
      <c r="AF44" s="9" t="s">
        <v>34</v>
      </c>
      <c r="AG44" s="9" t="s">
        <v>100</v>
      </c>
      <c r="AH44" s="9"/>
      <c r="AI44" s="9" t="s">
        <v>28</v>
      </c>
      <c r="AJ44" s="9"/>
      <c r="AK44" s="9" t="s">
        <v>101</v>
      </c>
      <c r="AL44" s="9"/>
      <c r="AM44" s="9" t="s">
        <v>102</v>
      </c>
      <c r="AN44" s="9"/>
      <c r="AO44" s="9"/>
      <c r="AP44" s="9" t="s">
        <v>52</v>
      </c>
      <c r="AQ44" s="9"/>
      <c r="AR44" s="9" t="s">
        <v>105</v>
      </c>
      <c r="AS44" s="9"/>
      <c r="AT44" s="9" t="s">
        <v>91</v>
      </c>
      <c r="AU44" s="9"/>
      <c r="AV44" s="9"/>
      <c r="AW44" s="9" t="s">
        <v>106</v>
      </c>
      <c r="AX44" s="9"/>
      <c r="AY44" s="9" t="s">
        <v>108</v>
      </c>
      <c r="AZ44" s="9"/>
      <c r="BA44" s="9"/>
      <c r="BB44" s="9"/>
      <c r="BC44" s="9" t="s">
        <v>302</v>
      </c>
      <c r="BD44" s="9" t="s">
        <v>112</v>
      </c>
      <c r="BE44" s="9" t="s">
        <v>39</v>
      </c>
      <c r="BF44" s="9"/>
      <c r="BG44" s="9" t="s">
        <v>105</v>
      </c>
      <c r="BH44" s="9"/>
      <c r="BI44" s="9"/>
      <c r="BJ44" s="9" t="s">
        <v>114</v>
      </c>
      <c r="BK44" s="9"/>
      <c r="BL44" s="9" t="s">
        <v>115</v>
      </c>
      <c r="BM44" s="9" t="s">
        <v>116</v>
      </c>
      <c r="BN44" s="9"/>
      <c r="BO44" s="9"/>
      <c r="BP44" s="9"/>
      <c r="BQ44" s="9" t="s">
        <v>118</v>
      </c>
      <c r="BR44" s="9" t="s">
        <v>119</v>
      </c>
      <c r="BS44" s="9" t="s">
        <v>120</v>
      </c>
      <c r="BT44" s="9"/>
      <c r="BU44" s="9" t="s">
        <v>121</v>
      </c>
      <c r="BV44" s="9"/>
      <c r="BW44" s="9" t="s">
        <v>303</v>
      </c>
      <c r="BX44" s="13">
        <v>1</v>
      </c>
    </row>
    <row r="45" spans="1:76" ht="15.6" x14ac:dyDescent="0.3">
      <c r="A45" s="11" t="s">
        <v>123</v>
      </c>
      <c r="B45" s="10"/>
      <c r="C45" s="9" t="s">
        <v>131</v>
      </c>
      <c r="D45" s="9" t="s">
        <v>132</v>
      </c>
      <c r="E45" s="9"/>
      <c r="F45" s="9" t="s">
        <v>133</v>
      </c>
      <c r="G45" s="9"/>
      <c r="H45" s="9"/>
      <c r="I45" s="9" t="s">
        <v>136</v>
      </c>
      <c r="J45" s="9" t="s">
        <v>137</v>
      </c>
      <c r="K45" s="9"/>
      <c r="L45" s="9"/>
      <c r="M45" t="s">
        <v>322</v>
      </c>
      <c r="N45" s="9" t="s">
        <v>136</v>
      </c>
      <c r="O45" s="9" t="s">
        <v>137</v>
      </c>
      <c r="P45" s="9" t="s">
        <v>140</v>
      </c>
      <c r="Q45" s="9"/>
      <c r="R45" s="9"/>
      <c r="S45" s="9"/>
      <c r="T45" s="9" t="s">
        <v>304</v>
      </c>
      <c r="U45" s="9" t="s">
        <v>284</v>
      </c>
      <c r="V45" s="9"/>
      <c r="W45" s="9"/>
      <c r="X45" s="9" t="s">
        <v>144</v>
      </c>
      <c r="Y45" s="9" t="s">
        <v>145</v>
      </c>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13">
        <v>0</v>
      </c>
    </row>
    <row r="46" spans="1:76" ht="15.6" x14ac:dyDescent="0.3">
      <c r="A46" s="11" t="s">
        <v>124</v>
      </c>
      <c r="B46" s="10" t="s">
        <v>273</v>
      </c>
      <c r="C46" s="9" t="s">
        <v>148</v>
      </c>
      <c r="D46" s="9"/>
      <c r="E46" s="9" t="s">
        <v>285</v>
      </c>
      <c r="F46" s="9"/>
      <c r="G46" s="9" t="s">
        <v>87</v>
      </c>
      <c r="H46" s="9"/>
      <c r="I46" s="9" t="s">
        <v>151</v>
      </c>
      <c r="J46" s="9" t="s">
        <v>152</v>
      </c>
      <c r="K46" s="9"/>
      <c r="L46" s="9"/>
      <c r="M46" s="9" t="s">
        <v>153</v>
      </c>
      <c r="N46" s="9"/>
      <c r="O46" s="9"/>
      <c r="P46" s="9" t="s">
        <v>56</v>
      </c>
      <c r="Q46" s="9"/>
      <c r="R46" s="9" t="s">
        <v>155</v>
      </c>
      <c r="S46" s="9" t="s">
        <v>156</v>
      </c>
      <c r="T46" s="9" t="s">
        <v>133</v>
      </c>
      <c r="U46" s="9"/>
      <c r="V46" s="9" t="s">
        <v>159</v>
      </c>
      <c r="W46" s="9" t="s">
        <v>160</v>
      </c>
      <c r="X46" s="9"/>
      <c r="Y46" s="9"/>
      <c r="Z46" s="9"/>
      <c r="AA46" s="9" t="s">
        <v>163</v>
      </c>
      <c r="AB46" s="9"/>
      <c r="AC46" s="9" t="s">
        <v>164</v>
      </c>
      <c r="AD46" s="9"/>
      <c r="AE46" s="9" t="s">
        <v>144</v>
      </c>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13">
        <v>0</v>
      </c>
    </row>
    <row r="47" spans="1:76" ht="15.6" x14ac:dyDescent="0.3">
      <c r="A47" s="11" t="s">
        <v>125</v>
      </c>
      <c r="B47" s="14"/>
      <c r="C47" s="9"/>
      <c r="D47" s="9"/>
      <c r="E47" s="9" t="s">
        <v>166</v>
      </c>
      <c r="F47" s="9" t="s">
        <v>93</v>
      </c>
      <c r="G47" s="9"/>
      <c r="H47" s="9" t="s">
        <v>30</v>
      </c>
      <c r="I47" s="9" t="s">
        <v>31</v>
      </c>
      <c r="J47" s="9"/>
      <c r="K47" s="9"/>
      <c r="L47" s="9"/>
      <c r="M47" s="9" t="s">
        <v>167</v>
      </c>
      <c r="N47" s="9" t="s">
        <v>96</v>
      </c>
      <c r="O47" s="9" t="s">
        <v>286</v>
      </c>
      <c r="P47" s="9" t="s">
        <v>287</v>
      </c>
      <c r="Q47" s="9" t="s">
        <v>171</v>
      </c>
      <c r="R47" s="9"/>
      <c r="S47" s="9" t="s">
        <v>288</v>
      </c>
      <c r="T47" s="9"/>
      <c r="U47" s="9"/>
      <c r="V47" s="9"/>
      <c r="W47" s="9"/>
      <c r="X47" s="9" t="s">
        <v>91</v>
      </c>
      <c r="Y47" s="9" t="s">
        <v>93</v>
      </c>
      <c r="Z47" s="9"/>
      <c r="AA47" s="9" t="s">
        <v>30</v>
      </c>
      <c r="AB47" s="9" t="s">
        <v>31</v>
      </c>
      <c r="AC47" s="9"/>
      <c r="AD47" s="9"/>
      <c r="AE47" s="9" t="s">
        <v>175</v>
      </c>
      <c r="AF47" s="9" t="s">
        <v>167</v>
      </c>
      <c r="AG47" s="9" t="s">
        <v>176</v>
      </c>
      <c r="AH47" s="9"/>
      <c r="AI47" s="9"/>
      <c r="AJ47" s="9" t="s">
        <v>178</v>
      </c>
      <c r="AK47" s="11"/>
      <c r="AL47" s="11"/>
      <c r="AM47" s="11"/>
      <c r="AN47" s="11" t="s">
        <v>179</v>
      </c>
      <c r="AO47" s="11"/>
      <c r="AP47" s="11"/>
      <c r="AQ47" s="9"/>
      <c r="AR47" s="9"/>
      <c r="AS47" s="9"/>
      <c r="AT47" s="9" t="s">
        <v>91</v>
      </c>
      <c r="AU47" s="9" t="s">
        <v>294</v>
      </c>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13">
        <v>1</v>
      </c>
    </row>
    <row r="48" spans="1:76" ht="15.6" x14ac:dyDescent="0.3">
      <c r="A48" s="11" t="s">
        <v>126</v>
      </c>
      <c r="B48" s="10" t="s">
        <v>184</v>
      </c>
      <c r="C48" s="9"/>
      <c r="D48" s="9" t="s">
        <v>185</v>
      </c>
      <c r="E48" s="9" t="s">
        <v>186</v>
      </c>
      <c r="F48" s="9"/>
      <c r="G48" s="9" t="s">
        <v>308</v>
      </c>
      <c r="H48" s="9"/>
      <c r="I48" s="9"/>
      <c r="J48" s="9"/>
      <c r="K48" s="9"/>
      <c r="L48" s="9" t="s">
        <v>190</v>
      </c>
      <c r="M48" s="9" t="s">
        <v>185</v>
      </c>
      <c r="N48" s="9"/>
      <c r="O48" s="9"/>
      <c r="P48" s="9" t="s">
        <v>191</v>
      </c>
      <c r="Q48" s="9"/>
      <c r="R48" s="9" t="s">
        <v>192</v>
      </c>
      <c r="S48" s="9"/>
      <c r="T48" s="9" t="s">
        <v>194</v>
      </c>
      <c r="U48" s="9"/>
      <c r="V48" s="9"/>
      <c r="W48" s="9"/>
      <c r="X48" s="9" t="s">
        <v>317</v>
      </c>
      <c r="Y48" s="9" t="s">
        <v>318</v>
      </c>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13">
        <v>0</v>
      </c>
    </row>
    <row r="49" spans="1:76" ht="15.6" x14ac:dyDescent="0.3">
      <c r="A49" s="11" t="s">
        <v>127</v>
      </c>
      <c r="B49" s="10"/>
      <c r="C49" s="9" t="s">
        <v>196</v>
      </c>
      <c r="D49" s="9"/>
      <c r="E49" s="9" t="s">
        <v>198</v>
      </c>
      <c r="F49" s="9"/>
      <c r="G49" s="9"/>
      <c r="H49" s="9">
        <v>15</v>
      </c>
      <c r="I49" s="9" t="s">
        <v>309</v>
      </c>
      <c r="J49" s="9" t="s">
        <v>200</v>
      </c>
      <c r="K49" s="9" t="s">
        <v>136</v>
      </c>
      <c r="L49" s="9" t="s">
        <v>23</v>
      </c>
      <c r="M49" s="9">
        <v>4</v>
      </c>
      <c r="N49" s="9"/>
      <c r="O49" s="9" t="s">
        <v>200</v>
      </c>
      <c r="P49" s="9" t="s">
        <v>87</v>
      </c>
      <c r="Q49" s="9"/>
      <c r="R49" s="9" t="s">
        <v>203</v>
      </c>
      <c r="S49" s="9"/>
      <c r="T49" s="9"/>
      <c r="U49" s="9"/>
      <c r="V49" s="9" t="s">
        <v>206</v>
      </c>
      <c r="W49" s="9"/>
      <c r="X49" s="9"/>
      <c r="Y49" s="9" t="s">
        <v>207</v>
      </c>
      <c r="Z49" s="9"/>
      <c r="AA49" s="9"/>
      <c r="AB49" s="9" t="s">
        <v>136</v>
      </c>
      <c r="AC49" s="9"/>
      <c r="AD49" s="9" t="s">
        <v>208</v>
      </c>
      <c r="AE49" s="9" t="s">
        <v>209</v>
      </c>
      <c r="AF49" s="9"/>
      <c r="AG49" s="9" t="s">
        <v>198</v>
      </c>
      <c r="AH49" s="9"/>
      <c r="AI49" s="9" t="s">
        <v>210</v>
      </c>
      <c r="AJ49" s="9"/>
      <c r="AK49" s="9" t="s">
        <v>211</v>
      </c>
      <c r="AL49" s="9" t="s">
        <v>78</v>
      </c>
      <c r="AM49" s="9"/>
      <c r="AN49" s="9"/>
      <c r="AO49" s="9" t="s">
        <v>60</v>
      </c>
      <c r="AP49" s="9" t="s">
        <v>214</v>
      </c>
      <c r="AQ49" s="9" t="s">
        <v>78</v>
      </c>
      <c r="AR49" s="9"/>
      <c r="AS49" s="9" t="s">
        <v>215</v>
      </c>
      <c r="AT49" s="9"/>
      <c r="AU49" s="9"/>
      <c r="AV49" s="9"/>
      <c r="AW49" s="9"/>
      <c r="AX49" s="9" t="s">
        <v>217</v>
      </c>
      <c r="AY49" s="9"/>
      <c r="AZ49" s="9" t="s">
        <v>311</v>
      </c>
      <c r="BA49" s="9" t="s">
        <v>219</v>
      </c>
      <c r="BB49" s="9" t="s">
        <v>19</v>
      </c>
      <c r="BC49" s="9" t="s">
        <v>198</v>
      </c>
      <c r="BD49" s="9"/>
      <c r="BE49" s="9"/>
      <c r="BF49" s="9" t="s">
        <v>279</v>
      </c>
      <c r="BG49" s="9"/>
      <c r="BH49" s="9" t="s">
        <v>320</v>
      </c>
      <c r="BI49" s="9"/>
      <c r="BJ49" s="9" t="s">
        <v>224</v>
      </c>
      <c r="BK49" s="9" t="s">
        <v>296</v>
      </c>
      <c r="BL49" s="9"/>
      <c r="BM49" s="9"/>
      <c r="BN49" s="9"/>
      <c r="BO49" s="9"/>
      <c r="BP49" s="9"/>
      <c r="BQ49" s="9"/>
      <c r="BR49" s="9"/>
      <c r="BS49" s="9"/>
      <c r="BT49" s="9"/>
      <c r="BU49" s="9"/>
      <c r="BV49" s="9"/>
      <c r="BW49" s="9"/>
      <c r="BX49" s="13">
        <v>1</v>
      </c>
    </row>
    <row r="50" spans="1:76" ht="15.6" x14ac:dyDescent="0.3">
      <c r="A50" s="11" t="s">
        <v>128</v>
      </c>
      <c r="B50" s="10"/>
      <c r="C50" s="9" t="s">
        <v>280</v>
      </c>
      <c r="D50" s="9" t="s">
        <v>227</v>
      </c>
      <c r="E50" s="9" t="s">
        <v>228</v>
      </c>
      <c r="F50" s="9"/>
      <c r="G50" s="9" t="s">
        <v>229</v>
      </c>
      <c r="H50" s="9"/>
      <c r="I50" s="9"/>
      <c r="J50" s="9"/>
      <c r="K50" s="9"/>
      <c r="L50" s="9" t="s">
        <v>137</v>
      </c>
      <c r="M50" s="9"/>
      <c r="N50" s="9"/>
      <c r="O50" s="9" t="s">
        <v>137</v>
      </c>
      <c r="P50" s="9"/>
      <c r="Q50" s="9" t="s">
        <v>234</v>
      </c>
      <c r="R50" s="9"/>
      <c r="S50" s="9" t="s">
        <v>235</v>
      </c>
      <c r="T50" s="9"/>
      <c r="U50" s="9"/>
      <c r="V50" s="9" t="s">
        <v>236</v>
      </c>
      <c r="W50" s="9" t="s">
        <v>237</v>
      </c>
      <c r="X50" s="9"/>
      <c r="Y50" s="9"/>
      <c r="Z50" s="9"/>
      <c r="AA50" s="9"/>
      <c r="AB50" s="9"/>
      <c r="AC50" s="9"/>
      <c r="AD50" s="9"/>
      <c r="AE50" s="9"/>
      <c r="AF50" s="9" t="s">
        <v>240</v>
      </c>
      <c r="AG50" s="9" t="s">
        <v>241</v>
      </c>
      <c r="AH50" s="9"/>
      <c r="AI50" s="9"/>
      <c r="AJ50" s="9" t="s">
        <v>281</v>
      </c>
      <c r="AK50" s="9" t="s">
        <v>243</v>
      </c>
      <c r="AL50" s="9"/>
      <c r="AM50" s="9"/>
      <c r="AN50" s="9" t="s">
        <v>244</v>
      </c>
      <c r="AO50" s="9"/>
      <c r="AP50" s="9" t="s">
        <v>167</v>
      </c>
      <c r="AQ50" s="9"/>
      <c r="AR50" s="9" t="s">
        <v>245</v>
      </c>
      <c r="AS50" s="9" t="s">
        <v>241</v>
      </c>
      <c r="AT50" s="9" t="s">
        <v>171</v>
      </c>
      <c r="AU50" s="9" t="s">
        <v>247</v>
      </c>
      <c r="AV50" s="9" t="s">
        <v>28</v>
      </c>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13" t="s">
        <v>11</v>
      </c>
    </row>
    <row r="51" spans="1:76" ht="15.6" x14ac:dyDescent="0.3">
      <c r="A51" s="11" t="s">
        <v>129</v>
      </c>
      <c r="B51" s="10"/>
      <c r="C51" s="9" t="s">
        <v>249</v>
      </c>
      <c r="D51" s="9"/>
      <c r="E51" s="9"/>
      <c r="F51" s="9" t="s">
        <v>250</v>
      </c>
      <c r="G51" s="9"/>
      <c r="H51" s="9"/>
      <c r="I51" s="9" t="s">
        <v>118</v>
      </c>
      <c r="J51" s="9" t="s">
        <v>313</v>
      </c>
      <c r="K51" s="9"/>
      <c r="L51" s="9" t="s">
        <v>252</v>
      </c>
      <c r="M51" s="9"/>
      <c r="N51" s="9"/>
      <c r="O51" s="9" t="s">
        <v>254</v>
      </c>
      <c r="P51" s="9"/>
      <c r="Q51" s="9"/>
      <c r="R51" s="9" t="s">
        <v>255</v>
      </c>
      <c r="S51" s="9" t="s">
        <v>289</v>
      </c>
      <c r="T51" s="9"/>
      <c r="U51" s="9" t="s">
        <v>256</v>
      </c>
      <c r="V51" s="9"/>
      <c r="W51" s="9" t="s">
        <v>105</v>
      </c>
      <c r="X51" s="9" t="s">
        <v>290</v>
      </c>
      <c r="Y51" s="9" t="s">
        <v>291</v>
      </c>
      <c r="Z51" s="9" t="s">
        <v>259</v>
      </c>
      <c r="AA51" s="9"/>
      <c r="AB51" s="9"/>
      <c r="AC51" s="9" t="s">
        <v>260</v>
      </c>
      <c r="AD51" s="9"/>
      <c r="AE51" s="9"/>
      <c r="AF51" s="9" t="s">
        <v>261</v>
      </c>
      <c r="AG51" s="9"/>
      <c r="AH51" s="9"/>
      <c r="AI51" s="9" t="s">
        <v>314</v>
      </c>
      <c r="AJ51" s="9"/>
      <c r="AK51" s="9" t="s">
        <v>263</v>
      </c>
      <c r="AL51" s="9" t="s">
        <v>185</v>
      </c>
      <c r="AM51" s="9" t="s">
        <v>56</v>
      </c>
      <c r="AN51" s="9"/>
      <c r="AO51" s="9" t="s">
        <v>264</v>
      </c>
      <c r="AP51" s="9"/>
      <c r="AQ51" s="9" t="s">
        <v>217</v>
      </c>
      <c r="AR51" s="9" t="s">
        <v>265</v>
      </c>
      <c r="AS51" s="9" t="s">
        <v>266</v>
      </c>
      <c r="AT51" s="9"/>
      <c r="AU51" s="9" t="s">
        <v>267</v>
      </c>
      <c r="AV51" s="9"/>
      <c r="AW51" s="9" t="s">
        <v>268</v>
      </c>
      <c r="AX51" s="9" t="s">
        <v>269</v>
      </c>
      <c r="AY51" s="9"/>
      <c r="AZ51" s="9" t="s">
        <v>300</v>
      </c>
      <c r="BA51" s="9"/>
      <c r="BB51" s="9"/>
      <c r="BC51" s="9"/>
      <c r="BD51" s="9"/>
      <c r="BE51" s="9"/>
      <c r="BF51" s="9"/>
      <c r="BG51" s="9"/>
      <c r="BH51" s="9"/>
      <c r="BI51" s="9"/>
      <c r="BJ51" s="9"/>
      <c r="BK51" s="9"/>
      <c r="BL51" s="9"/>
      <c r="BM51" s="9"/>
      <c r="BN51" s="9"/>
      <c r="BO51" s="9"/>
      <c r="BP51" s="9"/>
      <c r="BQ51" s="9"/>
      <c r="BR51" s="9"/>
      <c r="BS51" s="9"/>
      <c r="BT51" s="9"/>
      <c r="BU51" s="9"/>
      <c r="BV51" s="9"/>
      <c r="BW51" s="9"/>
      <c r="BX51" s="13" t="s">
        <v>11</v>
      </c>
    </row>
    <row r="53" spans="1:76" ht="15.6" x14ac:dyDescent="0.3">
      <c r="A53" s="6" t="s">
        <v>316</v>
      </c>
      <c r="B53" s="56" t="s">
        <v>270</v>
      </c>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12" t="s">
        <v>1</v>
      </c>
    </row>
    <row r="54" spans="1:76" ht="15.6" x14ac:dyDescent="0.3">
      <c r="A54" s="11" t="s">
        <v>54</v>
      </c>
      <c r="B54" s="17" t="s">
        <v>14</v>
      </c>
      <c r="C54" s="17" t="s">
        <v>224</v>
      </c>
      <c r="D54" s="17" t="s">
        <v>19</v>
      </c>
      <c r="E54" s="17" t="s">
        <v>20</v>
      </c>
      <c r="F54" s="17" t="s">
        <v>21</v>
      </c>
      <c r="G54" s="17" t="s">
        <v>292</v>
      </c>
      <c r="H54" s="17" t="s">
        <v>14</v>
      </c>
      <c r="I54" s="17" t="s">
        <v>25</v>
      </c>
      <c r="J54" s="17" t="s">
        <v>28</v>
      </c>
      <c r="K54" s="17" t="s">
        <v>30</v>
      </c>
      <c r="L54" s="17" t="s">
        <v>31</v>
      </c>
      <c r="M54" s="17" t="s">
        <v>293</v>
      </c>
      <c r="N54" s="17" t="s">
        <v>34</v>
      </c>
      <c r="O54" s="17" t="s">
        <v>282</v>
      </c>
      <c r="P54" s="17" t="s">
        <v>297</v>
      </c>
      <c r="Q54" s="17" t="s">
        <v>37</v>
      </c>
      <c r="R54" s="17" t="s">
        <v>39</v>
      </c>
      <c r="S54" s="17" t="s">
        <v>21</v>
      </c>
      <c r="T54" s="17" t="s">
        <v>298</v>
      </c>
      <c r="U54" s="17" t="s">
        <v>323</v>
      </c>
      <c r="V54" s="17" t="s">
        <v>44</v>
      </c>
      <c r="W54" s="17" t="s">
        <v>45</v>
      </c>
      <c r="X54" s="17" t="s">
        <v>48</v>
      </c>
      <c r="Y54" s="17" t="s">
        <v>34</v>
      </c>
      <c r="Z54" s="17" t="s">
        <v>51</v>
      </c>
      <c r="AA54" s="17" t="s">
        <v>52</v>
      </c>
      <c r="AB54" s="17" t="s">
        <v>299</v>
      </c>
      <c r="AC54" s="17"/>
      <c r="AD54" s="17"/>
      <c r="AE54" s="17"/>
      <c r="AF54" s="17"/>
      <c r="AG54" s="17"/>
      <c r="AH54" s="17"/>
      <c r="AI54" s="17"/>
      <c r="AJ54" s="13">
        <v>1</v>
      </c>
    </row>
    <row r="55" spans="1:76" ht="15.6" x14ac:dyDescent="0.3">
      <c r="A55" s="11" t="s">
        <v>55</v>
      </c>
      <c r="B55" s="17" t="s">
        <v>56</v>
      </c>
      <c r="C55" s="17" t="s">
        <v>58</v>
      </c>
      <c r="D55" s="17" t="s">
        <v>315</v>
      </c>
      <c r="E55" s="17" t="s">
        <v>30</v>
      </c>
      <c r="F55" s="17" t="s">
        <v>31</v>
      </c>
      <c r="G55" s="17" t="s">
        <v>300</v>
      </c>
      <c r="H55" s="17" t="s">
        <v>67</v>
      </c>
      <c r="I55" s="17" t="s">
        <v>68</v>
      </c>
      <c r="J55" s="17" t="s">
        <v>69</v>
      </c>
      <c r="K55" s="17" t="s">
        <v>72</v>
      </c>
      <c r="L55" s="17" t="s">
        <v>75</v>
      </c>
      <c r="M55" s="17" t="s">
        <v>76</v>
      </c>
      <c r="N55" s="17" t="s">
        <v>77</v>
      </c>
      <c r="O55" s="50" t="s">
        <v>78</v>
      </c>
      <c r="P55" s="17" t="s">
        <v>79</v>
      </c>
      <c r="Q55" s="17" t="s">
        <v>81</v>
      </c>
      <c r="R55" s="17" t="s">
        <v>14</v>
      </c>
      <c r="V55" s="17"/>
      <c r="W55" s="17"/>
      <c r="X55" s="17"/>
      <c r="Y55" s="17"/>
      <c r="Z55" s="17"/>
      <c r="AA55" s="17"/>
      <c r="AB55" s="17"/>
      <c r="AC55" s="17"/>
      <c r="AD55" s="17"/>
      <c r="AE55" s="17"/>
      <c r="AF55" s="17"/>
      <c r="AG55" s="17"/>
      <c r="AH55" s="17"/>
      <c r="AI55" s="17"/>
      <c r="AJ55" s="13">
        <v>1</v>
      </c>
    </row>
    <row r="56" spans="1:76" ht="15.6" x14ac:dyDescent="0.3">
      <c r="A56" s="11" t="s">
        <v>83</v>
      </c>
      <c r="B56" s="17" t="s">
        <v>85</v>
      </c>
      <c r="C56" s="17" t="s">
        <v>14</v>
      </c>
      <c r="D56" s="17" t="s">
        <v>70</v>
      </c>
      <c r="E56" s="17" t="s">
        <v>87</v>
      </c>
      <c r="F56" s="17" t="s">
        <v>301</v>
      </c>
      <c r="G56" s="17" t="s">
        <v>91</v>
      </c>
      <c r="H56" s="17" t="s">
        <v>92</v>
      </c>
      <c r="I56" s="17" t="s">
        <v>93</v>
      </c>
      <c r="J56" s="17" t="s">
        <v>30</v>
      </c>
      <c r="K56" s="17" t="s">
        <v>31</v>
      </c>
      <c r="L56" s="17" t="s">
        <v>96</v>
      </c>
      <c r="M56" s="17" t="s">
        <v>97</v>
      </c>
      <c r="N56" s="17" t="s">
        <v>34</v>
      </c>
      <c r="O56" s="17" t="s">
        <v>100</v>
      </c>
      <c r="P56" s="17" t="s">
        <v>28</v>
      </c>
      <c r="Q56" s="17" t="s">
        <v>101</v>
      </c>
      <c r="R56" s="17" t="s">
        <v>102</v>
      </c>
      <c r="S56" s="17" t="s">
        <v>52</v>
      </c>
      <c r="T56" s="17" t="s">
        <v>105</v>
      </c>
      <c r="U56" s="17" t="s">
        <v>91</v>
      </c>
      <c r="V56" s="17" t="s">
        <v>106</v>
      </c>
      <c r="W56" s="17" t="s">
        <v>108</v>
      </c>
      <c r="X56" s="17" t="s">
        <v>302</v>
      </c>
      <c r="Y56" s="17" t="s">
        <v>324</v>
      </c>
      <c r="Z56" s="17" t="s">
        <v>39</v>
      </c>
      <c r="AA56" s="17" t="s">
        <v>105</v>
      </c>
      <c r="AB56" s="17" t="s">
        <v>114</v>
      </c>
      <c r="AC56" s="17" t="s">
        <v>115</v>
      </c>
      <c r="AD56" s="17" t="s">
        <v>116</v>
      </c>
      <c r="AE56" s="17" t="s">
        <v>118</v>
      </c>
      <c r="AF56" s="17" t="s">
        <v>119</v>
      </c>
      <c r="AG56" s="17" t="s">
        <v>120</v>
      </c>
      <c r="AH56" s="17" t="s">
        <v>121</v>
      </c>
      <c r="AI56" s="17" t="s">
        <v>303</v>
      </c>
      <c r="AJ56" s="13">
        <v>1</v>
      </c>
    </row>
    <row r="57" spans="1:76" ht="15.6" x14ac:dyDescent="0.3">
      <c r="A57" s="11" t="s">
        <v>123</v>
      </c>
      <c r="B57" s="17" t="s">
        <v>131</v>
      </c>
      <c r="C57" s="17" t="s">
        <v>132</v>
      </c>
      <c r="D57" s="17" t="s">
        <v>133</v>
      </c>
      <c r="E57" s="17" t="s">
        <v>136</v>
      </c>
      <c r="F57" s="17" t="s">
        <v>137</v>
      </c>
      <c r="G57" s="17" t="s">
        <v>322</v>
      </c>
      <c r="H57" s="17" t="s">
        <v>136</v>
      </c>
      <c r="I57" s="17" t="s">
        <v>137</v>
      </c>
      <c r="J57" s="17" t="s">
        <v>140</v>
      </c>
      <c r="K57" s="17" t="s">
        <v>304</v>
      </c>
      <c r="L57" s="17" t="s">
        <v>325</v>
      </c>
      <c r="M57" s="17" t="s">
        <v>144</v>
      </c>
      <c r="N57" s="17" t="s">
        <v>145</v>
      </c>
      <c r="O57" s="17"/>
      <c r="P57" s="17"/>
      <c r="Q57" s="17"/>
      <c r="R57" s="17"/>
      <c r="S57" s="17"/>
      <c r="T57" s="17"/>
      <c r="U57" s="17"/>
      <c r="V57" s="17"/>
      <c r="W57" s="17"/>
      <c r="X57" s="17"/>
      <c r="Y57" s="17"/>
      <c r="Z57" s="17"/>
      <c r="AA57" s="17"/>
      <c r="AB57" s="17"/>
      <c r="AC57" s="17"/>
      <c r="AD57" s="17"/>
      <c r="AE57" s="17"/>
      <c r="AF57" s="17"/>
      <c r="AG57" s="17"/>
      <c r="AH57" s="17"/>
      <c r="AI57" s="17"/>
      <c r="AJ57" s="13">
        <v>0</v>
      </c>
    </row>
    <row r="58" spans="1:76" ht="15.6" x14ac:dyDescent="0.3">
      <c r="A58" s="11" t="s">
        <v>124</v>
      </c>
      <c r="B58" s="17" t="s">
        <v>326</v>
      </c>
      <c r="C58" s="17" t="s">
        <v>148</v>
      </c>
      <c r="D58" s="17" t="s">
        <v>285</v>
      </c>
      <c r="E58" s="17" t="s">
        <v>87</v>
      </c>
      <c r="F58" s="17" t="s">
        <v>151</v>
      </c>
      <c r="G58" s="17" t="s">
        <v>152</v>
      </c>
      <c r="H58" s="17" t="s">
        <v>153</v>
      </c>
      <c r="I58" s="17" t="s">
        <v>56</v>
      </c>
      <c r="J58" s="17" t="s">
        <v>155</v>
      </c>
      <c r="K58" s="17" t="s">
        <v>156</v>
      </c>
      <c r="L58" s="17" t="s">
        <v>133</v>
      </c>
      <c r="M58" s="17" t="s">
        <v>159</v>
      </c>
      <c r="N58" s="17" t="s">
        <v>160</v>
      </c>
      <c r="O58" s="17" t="s">
        <v>163</v>
      </c>
      <c r="P58" s="17" t="s">
        <v>164</v>
      </c>
      <c r="Q58" s="17" t="s">
        <v>144</v>
      </c>
      <c r="R58" s="17"/>
      <c r="S58" s="17"/>
      <c r="T58" s="17"/>
      <c r="U58" s="17"/>
      <c r="V58" s="17"/>
      <c r="W58" s="17"/>
      <c r="X58" s="17"/>
      <c r="Y58" s="17"/>
      <c r="Z58" s="17"/>
      <c r="AA58" s="17"/>
      <c r="AB58" s="17"/>
      <c r="AC58" s="17"/>
      <c r="AD58" s="17"/>
      <c r="AE58" s="17"/>
      <c r="AF58" s="17"/>
      <c r="AG58" s="17"/>
      <c r="AH58" s="17"/>
      <c r="AI58" s="17"/>
      <c r="AJ58" s="13">
        <v>0</v>
      </c>
    </row>
    <row r="59" spans="1:76" ht="15.6" x14ac:dyDescent="0.3">
      <c r="A59" s="11" t="s">
        <v>125</v>
      </c>
      <c r="B59" s="17" t="s">
        <v>166</v>
      </c>
      <c r="C59" s="17" t="s">
        <v>93</v>
      </c>
      <c r="D59" s="17" t="s">
        <v>30</v>
      </c>
      <c r="E59" s="17" t="s">
        <v>31</v>
      </c>
      <c r="F59" s="17" t="s">
        <v>167</v>
      </c>
      <c r="G59" s="17" t="s">
        <v>96</v>
      </c>
      <c r="H59" s="17" t="s">
        <v>286</v>
      </c>
      <c r="I59" s="17" t="s">
        <v>287</v>
      </c>
      <c r="J59" s="17" t="s">
        <v>171</v>
      </c>
      <c r="K59" s="17" t="s">
        <v>288</v>
      </c>
      <c r="L59" s="17" t="s">
        <v>91</v>
      </c>
      <c r="M59" s="17" t="s">
        <v>93</v>
      </c>
      <c r="N59" s="17" t="s">
        <v>30</v>
      </c>
      <c r="O59" s="17" t="s">
        <v>31</v>
      </c>
      <c r="P59" s="17" t="s">
        <v>175</v>
      </c>
      <c r="Q59" s="17" t="s">
        <v>167</v>
      </c>
      <c r="R59" s="17" t="s">
        <v>176</v>
      </c>
      <c r="S59" s="17" t="s">
        <v>178</v>
      </c>
      <c r="T59" s="17" t="s">
        <v>179</v>
      </c>
      <c r="U59" s="50" t="s">
        <v>180</v>
      </c>
      <c r="V59" s="50" t="s">
        <v>307</v>
      </c>
      <c r="W59" s="17" t="s">
        <v>91</v>
      </c>
      <c r="X59" s="17" t="s">
        <v>294</v>
      </c>
      <c r="Y59" s="17"/>
      <c r="Z59" s="17"/>
      <c r="AA59" s="17"/>
      <c r="AB59" s="17"/>
      <c r="AC59" s="17"/>
      <c r="AD59" s="17"/>
      <c r="AE59" s="17"/>
      <c r="AF59" s="17"/>
      <c r="AG59" s="17"/>
      <c r="AH59" s="17"/>
      <c r="AI59" s="17"/>
      <c r="AJ59" s="13">
        <v>1</v>
      </c>
    </row>
    <row r="60" spans="1:76" ht="15.6" x14ac:dyDescent="0.3">
      <c r="A60" s="11" t="s">
        <v>126</v>
      </c>
      <c r="B60" s="17" t="s">
        <v>327</v>
      </c>
      <c r="C60" s="17" t="s">
        <v>185</v>
      </c>
      <c r="D60" s="17" t="s">
        <v>186</v>
      </c>
      <c r="E60" s="17" t="s">
        <v>308</v>
      </c>
      <c r="F60" s="17" t="s">
        <v>190</v>
      </c>
      <c r="G60" s="17" t="s">
        <v>185</v>
      </c>
      <c r="H60" s="17" t="s">
        <v>191</v>
      </c>
      <c r="I60" s="17" t="s">
        <v>192</v>
      </c>
      <c r="J60" s="17" t="s">
        <v>194</v>
      </c>
      <c r="K60" s="17" t="s">
        <v>317</v>
      </c>
      <c r="L60" s="17" t="s">
        <v>318</v>
      </c>
      <c r="M60" s="17"/>
      <c r="N60" s="17"/>
      <c r="O60" s="17"/>
      <c r="P60" s="17"/>
      <c r="Q60" s="17"/>
      <c r="R60" s="17"/>
      <c r="S60" s="17"/>
      <c r="T60" s="17"/>
      <c r="U60" s="17"/>
      <c r="V60" s="17"/>
      <c r="W60" s="17"/>
      <c r="X60" s="17"/>
      <c r="Y60" s="17"/>
      <c r="Z60" s="17"/>
      <c r="AA60" s="17"/>
      <c r="AB60" s="17"/>
      <c r="AC60" s="17"/>
      <c r="AD60" s="17"/>
      <c r="AE60" s="17"/>
      <c r="AF60" s="17"/>
      <c r="AG60" s="17"/>
      <c r="AH60" s="17"/>
      <c r="AI60" s="17"/>
      <c r="AJ60" s="13">
        <v>0</v>
      </c>
    </row>
    <row r="61" spans="1:76" ht="15.6" x14ac:dyDescent="0.3">
      <c r="A61" s="11" t="s">
        <v>127</v>
      </c>
      <c r="B61" s="17" t="s">
        <v>196</v>
      </c>
      <c r="C61" s="17" t="s">
        <v>198</v>
      </c>
      <c r="D61" s="17"/>
      <c r="E61" s="17" t="s">
        <v>309</v>
      </c>
      <c r="F61" s="17" t="s">
        <v>200</v>
      </c>
      <c r="G61" s="17" t="s">
        <v>136</v>
      </c>
      <c r="H61" s="17" t="s">
        <v>200</v>
      </c>
      <c r="I61" s="17" t="s">
        <v>87</v>
      </c>
      <c r="J61" s="17" t="s">
        <v>203</v>
      </c>
      <c r="K61" s="17" t="s">
        <v>206</v>
      </c>
      <c r="L61" s="17" t="s">
        <v>207</v>
      </c>
      <c r="M61" s="17" t="s">
        <v>136</v>
      </c>
      <c r="N61" s="17" t="s">
        <v>208</v>
      </c>
      <c r="O61" s="17" t="s">
        <v>209</v>
      </c>
      <c r="P61" s="17" t="s">
        <v>198</v>
      </c>
      <c r="Q61" s="17" t="s">
        <v>211</v>
      </c>
      <c r="R61" s="17" t="s">
        <v>214</v>
      </c>
      <c r="S61" s="17" t="s">
        <v>78</v>
      </c>
      <c r="T61" s="17" t="s">
        <v>215</v>
      </c>
      <c r="U61" s="17" t="s">
        <v>217</v>
      </c>
      <c r="V61" s="17" t="s">
        <v>311</v>
      </c>
      <c r="W61" s="17" t="s">
        <v>224</v>
      </c>
      <c r="X61" s="17" t="s">
        <v>19</v>
      </c>
      <c r="Y61" s="17" t="s">
        <v>198</v>
      </c>
      <c r="Z61" s="17" t="s">
        <v>320</v>
      </c>
      <c r="AA61" s="17" t="s">
        <v>224</v>
      </c>
      <c r="AB61" s="17" t="s">
        <v>296</v>
      </c>
      <c r="AG61" s="17"/>
      <c r="AH61" s="17"/>
      <c r="AI61" s="17"/>
      <c r="AJ61" s="13">
        <v>1</v>
      </c>
    </row>
    <row r="62" spans="1:76" ht="15.6" x14ac:dyDescent="0.3">
      <c r="A62" s="11" t="s">
        <v>128</v>
      </c>
      <c r="B62" s="17" t="s">
        <v>280</v>
      </c>
      <c r="C62" s="17" t="s">
        <v>227</v>
      </c>
      <c r="D62" s="17" t="s">
        <v>228</v>
      </c>
      <c r="E62" s="17" t="s">
        <v>229</v>
      </c>
      <c r="F62" s="17" t="s">
        <v>137</v>
      </c>
      <c r="G62" s="17" t="s">
        <v>137</v>
      </c>
      <c r="H62" s="17" t="s">
        <v>234</v>
      </c>
      <c r="I62" s="17" t="s">
        <v>235</v>
      </c>
      <c r="J62" s="17" t="s">
        <v>236</v>
      </c>
      <c r="K62" s="17" t="s">
        <v>237</v>
      </c>
      <c r="L62" s="17" t="s">
        <v>240</v>
      </c>
      <c r="M62" s="17" t="s">
        <v>241</v>
      </c>
      <c r="N62" s="17" t="s">
        <v>281</v>
      </c>
      <c r="O62" s="17" t="s">
        <v>243</v>
      </c>
      <c r="P62" s="17" t="s">
        <v>167</v>
      </c>
      <c r="Q62" s="17" t="s">
        <v>245</v>
      </c>
      <c r="R62" s="17" t="s">
        <v>241</v>
      </c>
      <c r="S62" s="17" t="s">
        <v>247</v>
      </c>
      <c r="T62" s="17" t="s">
        <v>28</v>
      </c>
      <c r="W62" s="17"/>
      <c r="X62" s="17"/>
      <c r="Y62" s="17"/>
      <c r="Z62" s="17"/>
      <c r="AA62" s="17"/>
      <c r="AB62" s="17"/>
      <c r="AC62" s="17"/>
      <c r="AD62" s="17"/>
      <c r="AE62" s="17"/>
      <c r="AF62" s="17"/>
      <c r="AG62" s="17"/>
      <c r="AH62" s="17"/>
      <c r="AI62" s="17"/>
      <c r="AJ62" s="13" t="s">
        <v>11</v>
      </c>
    </row>
    <row r="63" spans="1:76" ht="15.6" x14ac:dyDescent="0.3">
      <c r="A63" s="11" t="s">
        <v>129</v>
      </c>
      <c r="B63" s="17" t="s">
        <v>249</v>
      </c>
      <c r="C63" s="17" t="s">
        <v>250</v>
      </c>
      <c r="D63" s="17" t="s">
        <v>118</v>
      </c>
      <c r="E63" s="17" t="s">
        <v>313</v>
      </c>
      <c r="F63" s="17" t="s">
        <v>252</v>
      </c>
      <c r="G63" s="17" t="s">
        <v>254</v>
      </c>
      <c r="H63" s="17" t="s">
        <v>255</v>
      </c>
      <c r="I63" s="17" t="s">
        <v>289</v>
      </c>
      <c r="J63" s="17" t="s">
        <v>256</v>
      </c>
      <c r="K63" s="17" t="s">
        <v>105</v>
      </c>
      <c r="L63" s="17" t="s">
        <v>290</v>
      </c>
      <c r="M63" s="17" t="s">
        <v>291</v>
      </c>
      <c r="N63" s="17" t="s">
        <v>259</v>
      </c>
      <c r="O63" s="17" t="s">
        <v>260</v>
      </c>
      <c r="P63" s="17" t="s">
        <v>261</v>
      </c>
      <c r="Q63" s="17" t="s">
        <v>314</v>
      </c>
      <c r="R63" s="17" t="s">
        <v>263</v>
      </c>
      <c r="S63" s="17" t="s">
        <v>185</v>
      </c>
      <c r="T63" s="17" t="s">
        <v>56</v>
      </c>
      <c r="U63" s="17" t="s">
        <v>264</v>
      </c>
      <c r="V63" s="17" t="s">
        <v>217</v>
      </c>
      <c r="W63" s="17" t="s">
        <v>265</v>
      </c>
      <c r="X63" s="17" t="s">
        <v>266</v>
      </c>
      <c r="Y63" s="17" t="s">
        <v>267</v>
      </c>
      <c r="Z63" s="17" t="s">
        <v>268</v>
      </c>
      <c r="AA63" s="17" t="s">
        <v>269</v>
      </c>
      <c r="AB63" s="17" t="s">
        <v>300</v>
      </c>
      <c r="AC63" s="17"/>
      <c r="AD63" s="17"/>
      <c r="AE63" s="17"/>
      <c r="AF63" s="17"/>
      <c r="AG63" s="17"/>
      <c r="AH63" s="17"/>
      <c r="AI63" s="17"/>
      <c r="AJ63" s="13" t="s">
        <v>11</v>
      </c>
    </row>
    <row r="65" spans="1:36" ht="21" x14ac:dyDescent="0.4">
      <c r="A65" s="8" t="s">
        <v>329</v>
      </c>
    </row>
    <row r="66" spans="1:36" ht="15.6" x14ac:dyDescent="0.3">
      <c r="A66" s="6" t="s">
        <v>316</v>
      </c>
      <c r="B66" s="56" t="s">
        <v>270</v>
      </c>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12" t="s">
        <v>1</v>
      </c>
    </row>
    <row r="67" spans="1:36" ht="15.6" x14ac:dyDescent="0.3">
      <c r="A67" s="11" t="s">
        <v>54</v>
      </c>
      <c r="B67" s="17" t="s">
        <v>14</v>
      </c>
      <c r="C67" s="17" t="s">
        <v>224</v>
      </c>
      <c r="D67" s="17" t="s">
        <v>19</v>
      </c>
      <c r="E67" s="17" t="s">
        <v>20</v>
      </c>
      <c r="F67" s="17" t="s">
        <v>21</v>
      </c>
      <c r="G67" s="17" t="s">
        <v>292</v>
      </c>
      <c r="H67" s="17" t="s">
        <v>14</v>
      </c>
      <c r="I67" s="17" t="s">
        <v>25</v>
      </c>
      <c r="J67" s="17" t="s">
        <v>28</v>
      </c>
      <c r="K67" s="17" t="s">
        <v>30</v>
      </c>
      <c r="L67" s="17" t="s">
        <v>31</v>
      </c>
      <c r="M67" s="18" t="s">
        <v>344</v>
      </c>
      <c r="N67" s="17" t="s">
        <v>34</v>
      </c>
      <c r="O67" s="17" t="s">
        <v>97</v>
      </c>
      <c r="P67" s="17" t="s">
        <v>297</v>
      </c>
      <c r="Q67" s="18" t="s">
        <v>75</v>
      </c>
      <c r="R67" s="17" t="s">
        <v>39</v>
      </c>
      <c r="S67" s="17" t="s">
        <v>21</v>
      </c>
      <c r="T67" s="18" t="s">
        <v>292</v>
      </c>
      <c r="U67" s="17" t="s">
        <v>323</v>
      </c>
      <c r="V67" s="17" t="s">
        <v>44</v>
      </c>
      <c r="W67" s="17" t="s">
        <v>45</v>
      </c>
      <c r="X67" s="17" t="s">
        <v>48</v>
      </c>
      <c r="Y67" s="17" t="s">
        <v>34</v>
      </c>
      <c r="Z67" s="17" t="s">
        <v>51</v>
      </c>
      <c r="AA67" s="17" t="s">
        <v>52</v>
      </c>
      <c r="AB67" s="18" t="s">
        <v>330</v>
      </c>
      <c r="AC67" s="17"/>
      <c r="AD67" s="17"/>
      <c r="AE67" s="17"/>
      <c r="AF67" s="17"/>
      <c r="AG67" s="17"/>
      <c r="AH67" s="17"/>
      <c r="AI67" s="17"/>
      <c r="AJ67" s="13">
        <v>1</v>
      </c>
    </row>
    <row r="68" spans="1:36" ht="15.6" x14ac:dyDescent="0.3">
      <c r="A68" s="11" t="s">
        <v>55</v>
      </c>
      <c r="B68" s="17" t="s">
        <v>56</v>
      </c>
      <c r="C68" s="17" t="s">
        <v>58</v>
      </c>
      <c r="D68" s="17" t="s">
        <v>315</v>
      </c>
      <c r="E68" s="17" t="s">
        <v>30</v>
      </c>
      <c r="F68" s="17" t="s">
        <v>31</v>
      </c>
      <c r="G68" s="17" t="s">
        <v>300</v>
      </c>
      <c r="H68" s="18" t="s">
        <v>342</v>
      </c>
      <c r="I68" s="17" t="s">
        <v>68</v>
      </c>
      <c r="J68" s="18" t="s">
        <v>346</v>
      </c>
      <c r="K68" s="18" t="s">
        <v>343</v>
      </c>
      <c r="L68" s="18" t="s">
        <v>345</v>
      </c>
      <c r="M68" s="17" t="s">
        <v>76</v>
      </c>
      <c r="N68" s="17" t="s">
        <v>77</v>
      </c>
      <c r="O68" s="51" t="s">
        <v>78</v>
      </c>
      <c r="P68" s="18" t="s">
        <v>309</v>
      </c>
      <c r="Q68" s="17" t="s">
        <v>81</v>
      </c>
      <c r="R68" s="17" t="s">
        <v>14</v>
      </c>
      <c r="V68" s="17"/>
      <c r="W68" s="17"/>
      <c r="X68" s="17"/>
      <c r="Y68" s="17"/>
      <c r="Z68" s="17"/>
      <c r="AA68" s="17"/>
      <c r="AB68" s="17"/>
      <c r="AC68" s="17"/>
      <c r="AD68" s="17"/>
      <c r="AE68" s="17"/>
      <c r="AF68" s="17"/>
      <c r="AG68" s="17"/>
      <c r="AH68" s="17"/>
      <c r="AI68" s="17"/>
      <c r="AJ68" s="13">
        <v>1</v>
      </c>
    </row>
    <row r="69" spans="1:36" ht="15.6" x14ac:dyDescent="0.3">
      <c r="A69" s="11" t="s">
        <v>83</v>
      </c>
      <c r="B69" s="18" t="s">
        <v>56</v>
      </c>
      <c r="C69" s="17" t="s">
        <v>14</v>
      </c>
      <c r="D69" s="17" t="s">
        <v>70</v>
      </c>
      <c r="E69" s="17" t="s">
        <v>87</v>
      </c>
      <c r="F69" s="17" t="s">
        <v>301</v>
      </c>
      <c r="G69" s="17" t="s">
        <v>91</v>
      </c>
      <c r="H69" s="17" t="s">
        <v>92</v>
      </c>
      <c r="I69" s="17" t="s">
        <v>93</v>
      </c>
      <c r="J69" s="17" t="s">
        <v>30</v>
      </c>
      <c r="K69" s="17" t="s">
        <v>31</v>
      </c>
      <c r="L69" s="18" t="s">
        <v>331</v>
      </c>
      <c r="M69" s="17" t="s">
        <v>97</v>
      </c>
      <c r="N69" s="17" t="s">
        <v>34</v>
      </c>
      <c r="O69" s="18" t="s">
        <v>217</v>
      </c>
      <c r="P69" s="17" t="s">
        <v>28</v>
      </c>
      <c r="Q69" s="17" t="s">
        <v>101</v>
      </c>
      <c r="R69" s="17" t="s">
        <v>102</v>
      </c>
      <c r="S69" s="17" t="s">
        <v>52</v>
      </c>
      <c r="T69" s="17" t="s">
        <v>105</v>
      </c>
      <c r="U69" s="17" t="s">
        <v>91</v>
      </c>
      <c r="V69" s="18" t="s">
        <v>347</v>
      </c>
      <c r="W69" s="17" t="s">
        <v>108</v>
      </c>
      <c r="X69" s="17" t="s">
        <v>324</v>
      </c>
      <c r="Y69" s="17" t="s">
        <v>39</v>
      </c>
      <c r="Z69" s="17" t="s">
        <v>105</v>
      </c>
      <c r="AA69" s="18" t="s">
        <v>348</v>
      </c>
      <c r="AB69" s="17" t="s">
        <v>115</v>
      </c>
      <c r="AC69" s="17" t="s">
        <v>116</v>
      </c>
      <c r="AD69" s="17" t="s">
        <v>118</v>
      </c>
      <c r="AE69" s="18" t="s">
        <v>78</v>
      </c>
      <c r="AF69" s="17" t="s">
        <v>120</v>
      </c>
      <c r="AG69" s="17" t="s">
        <v>121</v>
      </c>
      <c r="AH69" s="17" t="s">
        <v>303</v>
      </c>
      <c r="AJ69" s="13">
        <v>1</v>
      </c>
    </row>
    <row r="70" spans="1:36" ht="15.6" x14ac:dyDescent="0.3">
      <c r="A70" s="11" t="s">
        <v>123</v>
      </c>
      <c r="B70" s="17" t="s">
        <v>131</v>
      </c>
      <c r="C70" s="18" t="s">
        <v>39</v>
      </c>
      <c r="D70" s="17" t="s">
        <v>133</v>
      </c>
      <c r="E70" s="17" t="s">
        <v>136</v>
      </c>
      <c r="F70" s="17" t="s">
        <v>203</v>
      </c>
      <c r="G70" s="17" t="s">
        <v>322</v>
      </c>
      <c r="H70" s="17" t="s">
        <v>136</v>
      </c>
      <c r="I70" s="18" t="s">
        <v>203</v>
      </c>
      <c r="J70" s="18" t="s">
        <v>48</v>
      </c>
      <c r="K70" s="17" t="s">
        <v>304</v>
      </c>
      <c r="L70" s="17" t="s">
        <v>325</v>
      </c>
      <c r="M70" s="17" t="s">
        <v>144</v>
      </c>
      <c r="N70" s="18" t="s">
        <v>386</v>
      </c>
      <c r="O70" s="17"/>
      <c r="P70" s="17"/>
      <c r="Q70" s="17"/>
      <c r="R70" s="17"/>
      <c r="S70" s="17"/>
      <c r="T70" s="17"/>
      <c r="U70" s="17"/>
      <c r="V70" s="17"/>
      <c r="W70" s="17"/>
      <c r="X70" s="17"/>
      <c r="Y70" s="17"/>
      <c r="Z70" s="17"/>
      <c r="AA70" s="17"/>
      <c r="AB70" s="17"/>
      <c r="AC70" s="17"/>
      <c r="AD70" s="17"/>
      <c r="AE70" s="17"/>
      <c r="AF70" s="17"/>
      <c r="AG70" s="17"/>
      <c r="AH70" s="17"/>
      <c r="AI70" s="17"/>
      <c r="AJ70" s="13">
        <v>0</v>
      </c>
    </row>
    <row r="71" spans="1:36" ht="15.6" x14ac:dyDescent="0.3">
      <c r="A71" s="11" t="s">
        <v>124</v>
      </c>
      <c r="B71" s="17" t="s">
        <v>387</v>
      </c>
      <c r="C71" s="50" t="s">
        <v>185</v>
      </c>
      <c r="D71" s="17" t="s">
        <v>148</v>
      </c>
      <c r="E71" s="17" t="s">
        <v>285</v>
      </c>
      <c r="F71" s="17" t="s">
        <v>87</v>
      </c>
      <c r="G71" s="17" t="s">
        <v>151</v>
      </c>
      <c r="H71" s="17" t="s">
        <v>152</v>
      </c>
      <c r="I71" s="18" t="s">
        <v>333</v>
      </c>
      <c r="J71" s="17" t="s">
        <v>56</v>
      </c>
      <c r="K71" s="18" t="s">
        <v>349</v>
      </c>
      <c r="L71" s="17" t="s">
        <v>156</v>
      </c>
      <c r="M71" s="17" t="s">
        <v>133</v>
      </c>
      <c r="N71" s="17" t="s">
        <v>159</v>
      </c>
      <c r="O71" s="17" t="s">
        <v>160</v>
      </c>
      <c r="P71" s="18" t="s">
        <v>335</v>
      </c>
      <c r="Q71" s="17" t="s">
        <v>164</v>
      </c>
      <c r="R71" s="17" t="s">
        <v>144</v>
      </c>
      <c r="S71" s="17"/>
      <c r="T71" s="17"/>
      <c r="U71" s="17"/>
      <c r="V71" s="17"/>
      <c r="W71" s="17"/>
      <c r="X71" s="17"/>
      <c r="Y71" s="17"/>
      <c r="Z71" s="17"/>
      <c r="AA71" s="17"/>
      <c r="AB71" s="17"/>
      <c r="AC71" s="17"/>
      <c r="AD71" s="17"/>
      <c r="AE71" s="17"/>
      <c r="AF71" s="17"/>
      <c r="AG71" s="17"/>
      <c r="AH71" s="17"/>
      <c r="AI71" s="17"/>
      <c r="AJ71" s="13">
        <v>0</v>
      </c>
    </row>
    <row r="72" spans="1:36" ht="15.6" x14ac:dyDescent="0.3">
      <c r="A72" s="11" t="s">
        <v>125</v>
      </c>
      <c r="B72" s="17" t="s">
        <v>166</v>
      </c>
      <c r="C72" s="17" t="s">
        <v>93</v>
      </c>
      <c r="D72" s="17" t="s">
        <v>30</v>
      </c>
      <c r="E72" s="17" t="s">
        <v>31</v>
      </c>
      <c r="F72" s="17" t="s">
        <v>167</v>
      </c>
      <c r="G72" s="18" t="s">
        <v>331</v>
      </c>
      <c r="H72" s="18" t="s">
        <v>297</v>
      </c>
      <c r="I72" s="18" t="s">
        <v>332</v>
      </c>
      <c r="J72" s="18" t="s">
        <v>76</v>
      </c>
      <c r="K72" s="17" t="s">
        <v>288</v>
      </c>
      <c r="L72" s="17" t="s">
        <v>91</v>
      </c>
      <c r="M72" s="17" t="s">
        <v>93</v>
      </c>
      <c r="N72" s="17" t="s">
        <v>30</v>
      </c>
      <c r="O72" s="17" t="s">
        <v>31</v>
      </c>
      <c r="P72" s="17" t="s">
        <v>175</v>
      </c>
      <c r="Q72" s="17" t="s">
        <v>167</v>
      </c>
      <c r="R72" s="18" t="s">
        <v>336</v>
      </c>
      <c r="S72" s="18" t="s">
        <v>337</v>
      </c>
      <c r="T72" s="51" t="s">
        <v>52</v>
      </c>
      <c r="U72" s="51" t="s">
        <v>388</v>
      </c>
      <c r="V72" s="17" t="s">
        <v>91</v>
      </c>
      <c r="W72" s="17" t="s">
        <v>294</v>
      </c>
      <c r="X72" s="17"/>
      <c r="Y72" s="17"/>
      <c r="Z72" s="17"/>
      <c r="AA72" s="17"/>
      <c r="AB72" s="17"/>
      <c r="AC72" s="17"/>
      <c r="AD72" s="17"/>
      <c r="AE72" s="17"/>
      <c r="AF72" s="17"/>
      <c r="AG72" s="17"/>
      <c r="AH72" s="17"/>
      <c r="AI72" s="17"/>
      <c r="AJ72" s="13">
        <v>1</v>
      </c>
    </row>
    <row r="73" spans="1:36" ht="15.6" x14ac:dyDescent="0.3">
      <c r="A73" s="11" t="s">
        <v>126</v>
      </c>
      <c r="B73" s="17" t="s">
        <v>327</v>
      </c>
      <c r="C73" s="17" t="s">
        <v>185</v>
      </c>
      <c r="D73" s="17" t="s">
        <v>186</v>
      </c>
      <c r="E73" s="17" t="s">
        <v>308</v>
      </c>
      <c r="F73" s="18"/>
      <c r="G73" s="17" t="s">
        <v>185</v>
      </c>
      <c r="H73" s="18" t="s">
        <v>334</v>
      </c>
      <c r="I73" s="18" t="s">
        <v>30</v>
      </c>
      <c r="J73" s="17" t="s">
        <v>194</v>
      </c>
      <c r="K73" s="18"/>
      <c r="L73" s="18" t="s">
        <v>97</v>
      </c>
      <c r="M73" s="17"/>
      <c r="N73" s="17"/>
      <c r="O73" s="17"/>
      <c r="P73" s="17"/>
      <c r="Q73" s="17"/>
      <c r="R73" s="17"/>
      <c r="S73" s="17"/>
      <c r="T73" s="17"/>
      <c r="U73" s="17"/>
      <c r="V73" s="17"/>
      <c r="W73" s="17"/>
      <c r="X73" s="17"/>
      <c r="Y73" s="17"/>
      <c r="Z73" s="17"/>
      <c r="AA73" s="17"/>
      <c r="AB73" s="17"/>
      <c r="AC73" s="17"/>
      <c r="AD73" s="17"/>
      <c r="AE73" s="17"/>
      <c r="AF73" s="17"/>
      <c r="AG73" s="17"/>
      <c r="AH73" s="17"/>
      <c r="AI73" s="17"/>
      <c r="AJ73" s="13">
        <v>0</v>
      </c>
    </row>
    <row r="74" spans="1:36" ht="15.6" x14ac:dyDescent="0.3">
      <c r="A74" s="11" t="s">
        <v>127</v>
      </c>
      <c r="B74" s="17" t="s">
        <v>382</v>
      </c>
      <c r="C74" s="18" t="s">
        <v>237</v>
      </c>
      <c r="D74" s="17" t="s">
        <v>309</v>
      </c>
      <c r="E74" s="17" t="s">
        <v>200</v>
      </c>
      <c r="F74" s="17" t="s">
        <v>136</v>
      </c>
      <c r="G74" s="17" t="s">
        <v>200</v>
      </c>
      <c r="H74" s="17" t="s">
        <v>87</v>
      </c>
      <c r="I74" s="17" t="s">
        <v>203</v>
      </c>
      <c r="J74" s="17" t="s">
        <v>206</v>
      </c>
      <c r="K74" s="17" t="s">
        <v>207</v>
      </c>
      <c r="L74" s="17" t="s">
        <v>136</v>
      </c>
      <c r="M74" s="17" t="s">
        <v>208</v>
      </c>
      <c r="N74" s="17" t="s">
        <v>209</v>
      </c>
      <c r="O74" s="18" t="s">
        <v>237</v>
      </c>
      <c r="P74" s="17" t="s">
        <v>211</v>
      </c>
      <c r="Q74" s="17" t="s">
        <v>214</v>
      </c>
      <c r="R74" s="17" t="s">
        <v>78</v>
      </c>
      <c r="S74" s="17" t="s">
        <v>215</v>
      </c>
      <c r="T74" s="17" t="s">
        <v>217</v>
      </c>
      <c r="U74" s="17" t="s">
        <v>311</v>
      </c>
      <c r="V74" s="17" t="s">
        <v>224</v>
      </c>
      <c r="W74" s="17" t="s">
        <v>19</v>
      </c>
      <c r="X74" s="18" t="s">
        <v>237</v>
      </c>
      <c r="Y74" s="17" t="s">
        <v>320</v>
      </c>
      <c r="Z74" s="17" t="s">
        <v>224</v>
      </c>
      <c r="AA74" s="17" t="s">
        <v>296</v>
      </c>
      <c r="AB74" s="17"/>
      <c r="AF74" s="17"/>
      <c r="AG74" s="17"/>
      <c r="AH74" s="17"/>
      <c r="AI74" s="17"/>
      <c r="AJ74" s="13">
        <v>1</v>
      </c>
    </row>
    <row r="75" spans="1:36" ht="15.6" x14ac:dyDescent="0.3">
      <c r="A75" s="11" t="s">
        <v>128</v>
      </c>
      <c r="B75" s="18" t="s">
        <v>87</v>
      </c>
      <c r="C75" s="17" t="s">
        <v>227</v>
      </c>
      <c r="D75" s="18" t="s">
        <v>338</v>
      </c>
      <c r="E75" s="17" t="s">
        <v>229</v>
      </c>
      <c r="F75" s="18" t="s">
        <v>203</v>
      </c>
      <c r="G75" s="18" t="s">
        <v>203</v>
      </c>
      <c r="H75" s="17" t="s">
        <v>234</v>
      </c>
      <c r="I75" s="17" t="s">
        <v>235</v>
      </c>
      <c r="J75" s="17" t="s">
        <v>236</v>
      </c>
      <c r="K75" s="17" t="s">
        <v>237</v>
      </c>
      <c r="L75" s="17" t="s">
        <v>240</v>
      </c>
      <c r="M75" s="17" t="s">
        <v>229</v>
      </c>
      <c r="N75" s="17" t="s">
        <v>190</v>
      </c>
      <c r="O75" s="50" t="s">
        <v>185</v>
      </c>
      <c r="P75" s="17" t="s">
        <v>243</v>
      </c>
      <c r="Q75" s="17" t="s">
        <v>167</v>
      </c>
      <c r="R75" s="17" t="s">
        <v>245</v>
      </c>
      <c r="S75" s="17" t="s">
        <v>241</v>
      </c>
      <c r="T75" s="18" t="s">
        <v>341</v>
      </c>
      <c r="U75" s="17" t="s">
        <v>28</v>
      </c>
      <c r="W75" s="17"/>
      <c r="X75" s="17"/>
      <c r="Y75" s="17"/>
      <c r="Z75" s="17"/>
      <c r="AA75" s="17"/>
      <c r="AB75" s="17"/>
      <c r="AC75" s="17"/>
      <c r="AD75" s="17"/>
      <c r="AE75" s="17"/>
      <c r="AF75" s="17"/>
      <c r="AG75" s="17"/>
      <c r="AH75" s="17"/>
      <c r="AI75" s="17"/>
      <c r="AJ75" s="13" t="s">
        <v>11</v>
      </c>
    </row>
    <row r="76" spans="1:36" ht="15.6" x14ac:dyDescent="0.3">
      <c r="A76" s="11" t="s">
        <v>129</v>
      </c>
      <c r="B76" s="17" t="s">
        <v>249</v>
      </c>
      <c r="C76" s="18" t="s">
        <v>339</v>
      </c>
      <c r="D76" s="17" t="s">
        <v>118</v>
      </c>
      <c r="E76" s="17" t="s">
        <v>313</v>
      </c>
      <c r="F76" s="17" t="s">
        <v>252</v>
      </c>
      <c r="G76" s="17" t="s">
        <v>254</v>
      </c>
      <c r="H76" s="17" t="s">
        <v>255</v>
      </c>
      <c r="I76" s="17" t="s">
        <v>289</v>
      </c>
      <c r="J76" s="17" t="s">
        <v>105</v>
      </c>
      <c r="K76" s="18" t="s">
        <v>34</v>
      </c>
      <c r="L76" s="18" t="s">
        <v>340</v>
      </c>
      <c r="M76" s="17" t="s">
        <v>385</v>
      </c>
      <c r="N76" s="17" t="s">
        <v>260</v>
      </c>
      <c r="O76" s="17" t="s">
        <v>261</v>
      </c>
      <c r="P76" s="17" t="s">
        <v>314</v>
      </c>
      <c r="Q76" s="50" t="s">
        <v>263</v>
      </c>
      <c r="R76" s="17" t="s">
        <v>185</v>
      </c>
      <c r="S76" s="17" t="s">
        <v>56</v>
      </c>
      <c r="T76" s="17" t="s">
        <v>264</v>
      </c>
      <c r="U76" s="17" t="s">
        <v>217</v>
      </c>
      <c r="V76" s="17" t="s">
        <v>265</v>
      </c>
      <c r="W76" s="17" t="s">
        <v>384</v>
      </c>
      <c r="X76" s="17" t="s">
        <v>267</v>
      </c>
      <c r="Y76" s="17" t="s">
        <v>268</v>
      </c>
      <c r="Z76" s="17" t="s">
        <v>269</v>
      </c>
      <c r="AA76" s="17" t="s">
        <v>300</v>
      </c>
      <c r="AC76" s="17"/>
      <c r="AD76" s="17"/>
      <c r="AE76" s="17"/>
      <c r="AF76" s="17"/>
      <c r="AG76" s="17"/>
      <c r="AH76" s="17"/>
      <c r="AI76" s="17"/>
      <c r="AJ76" s="13" t="s">
        <v>11</v>
      </c>
    </row>
  </sheetData>
  <mergeCells count="5">
    <mergeCell ref="B2:BW2"/>
    <mergeCell ref="B28:BW28"/>
    <mergeCell ref="B41:BW41"/>
    <mergeCell ref="B53:AI53"/>
    <mergeCell ref="B66:AI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06F7C-4586-4F2C-AA14-24EEAE14762F}">
  <dimension ref="A1:CA201"/>
  <sheetViews>
    <sheetView topLeftCell="A165" zoomScale="76" zoomScaleNormal="67" workbookViewId="0">
      <selection activeCell="D2" sqref="D2:J2"/>
    </sheetView>
  </sheetViews>
  <sheetFormatPr defaultRowHeight="15.6" x14ac:dyDescent="0.3"/>
  <cols>
    <col min="1" max="2" width="15.88671875" style="19" customWidth="1"/>
    <col min="3" max="3" width="26.6640625" style="19" customWidth="1"/>
    <col min="4" max="4" width="27.44140625" style="19" customWidth="1"/>
    <col min="5" max="5" width="21.21875" style="19" customWidth="1"/>
    <col min="6" max="6" width="27.44140625" style="19" customWidth="1"/>
    <col min="7" max="7" width="17.21875" style="19" customWidth="1"/>
    <col min="8" max="8" width="27.44140625" style="25" customWidth="1"/>
    <col min="9" max="9" width="25" style="19" bestFit="1" customWidth="1"/>
    <col min="10" max="10" width="27.44140625" style="19" customWidth="1"/>
    <col min="11" max="11" width="28.77734375" style="19" bestFit="1" customWidth="1"/>
    <col min="12" max="12" width="24.5546875" style="19" bestFit="1" customWidth="1"/>
    <col min="13" max="14" width="8.88671875" style="19"/>
    <col min="15" max="15" width="19" style="19" customWidth="1"/>
    <col min="16" max="16" width="13.88671875" style="15" bestFit="1" customWidth="1"/>
    <col min="17" max="31" width="8.88671875" style="19"/>
    <col min="32" max="32" width="10.77734375" style="19" bestFit="1" customWidth="1"/>
    <col min="33" max="16384" width="8.88671875" style="19"/>
  </cols>
  <sheetData>
    <row r="1" spans="1:79" x14ac:dyDescent="0.3">
      <c r="A1" s="37" t="s">
        <v>358</v>
      </c>
      <c r="B1" s="38" t="s">
        <v>362</v>
      </c>
      <c r="C1" s="38" t="s">
        <v>350</v>
      </c>
      <c r="D1" s="38" t="s">
        <v>351</v>
      </c>
      <c r="E1" s="38" t="s">
        <v>352</v>
      </c>
      <c r="F1" s="38" t="s">
        <v>356</v>
      </c>
      <c r="G1" s="38" t="s">
        <v>353</v>
      </c>
      <c r="H1" s="38" t="s">
        <v>354</v>
      </c>
      <c r="I1" s="38" t="s">
        <v>355</v>
      </c>
      <c r="J1" s="39" t="s">
        <v>357</v>
      </c>
      <c r="P1" s="15" t="s">
        <v>359</v>
      </c>
      <c r="X1" s="25"/>
      <c r="Y1" s="25"/>
      <c r="Z1" s="25"/>
      <c r="AA1" s="25"/>
      <c r="AB1" s="25"/>
    </row>
    <row r="2" spans="1:79" x14ac:dyDescent="0.3">
      <c r="A2" s="43" t="s">
        <v>361</v>
      </c>
      <c r="B2" s="15">
        <v>1</v>
      </c>
      <c r="C2" s="17" t="s">
        <v>14</v>
      </c>
      <c r="D2" s="15">
        <f t="shared" ref="D2:D33" si="0">COUNTIFS($C$2:$C$165,C2,$B$2:$B$165,1)</f>
        <v>4</v>
      </c>
      <c r="E2" s="15">
        <f t="shared" ref="E2:E33" si="1">COUNTIF($B$2:$B$165,1)</f>
        <v>124</v>
      </c>
      <c r="F2" s="15">
        <f t="shared" ref="F2:F33" si="2">(D2+$B$2)/($E$2+$G$2)</f>
        <v>2.1645021645021644E-2</v>
      </c>
      <c r="G2" s="15">
        <f t="shared" ref="G2:G33" si="3">COUNTIF($P$2:$P$108,"&lt;&gt;")</f>
        <v>107</v>
      </c>
      <c r="H2" s="15">
        <f t="shared" ref="H2:H33" si="4">COUNTIFS($C$2:$C$165,C2,$B$2:$B$165,0)</f>
        <v>0</v>
      </c>
      <c r="I2" s="15">
        <f t="shared" ref="I2:I33" si="5">COUNTIF($B$2:$B$165,0)</f>
        <v>40</v>
      </c>
      <c r="J2" s="36">
        <f t="shared" ref="J2:J33" si="6">(H2+$B$2)/($I$2+$G$2)</f>
        <v>6.8027210884353739E-3</v>
      </c>
      <c r="P2" s="15" t="str" cm="1">
        <f t="array" ref="P2:P108">_xlfn.UNIQUE(C2:C165)</f>
        <v>book</v>
      </c>
      <c r="X2" s="57"/>
      <c r="CA2" s="20"/>
    </row>
    <row r="3" spans="1:79" x14ac:dyDescent="0.3">
      <c r="A3" s="44"/>
      <c r="B3" s="15">
        <v>1</v>
      </c>
      <c r="C3" s="17" t="s">
        <v>224</v>
      </c>
      <c r="D3" s="15">
        <f t="shared" si="0"/>
        <v>3</v>
      </c>
      <c r="E3" s="15">
        <f t="shared" si="1"/>
        <v>124</v>
      </c>
      <c r="F3" s="15">
        <f t="shared" si="2"/>
        <v>1.7316017316017316E-2</v>
      </c>
      <c r="G3" s="15">
        <f t="shared" si="3"/>
        <v>107</v>
      </c>
      <c r="H3" s="15">
        <f t="shared" si="4"/>
        <v>0</v>
      </c>
      <c r="I3" s="15">
        <f t="shared" si="5"/>
        <v>40</v>
      </c>
      <c r="J3" s="36">
        <f t="shared" si="6"/>
        <v>6.8027210884353739E-3</v>
      </c>
      <c r="P3" s="15" t="str">
        <v>perfect</v>
      </c>
      <c r="X3" s="57"/>
      <c r="Y3" s="24"/>
      <c r="CA3" s="22"/>
    </row>
    <row r="4" spans="1:79" x14ac:dyDescent="0.3">
      <c r="A4" s="44"/>
      <c r="B4" s="15">
        <v>1</v>
      </c>
      <c r="C4" s="17" t="s">
        <v>19</v>
      </c>
      <c r="D4" s="15">
        <f t="shared" si="0"/>
        <v>2</v>
      </c>
      <c r="E4" s="15">
        <f t="shared" si="1"/>
        <v>124</v>
      </c>
      <c r="F4" s="15">
        <f t="shared" si="2"/>
        <v>1.2987012987012988E-2</v>
      </c>
      <c r="G4" s="15">
        <f t="shared" si="3"/>
        <v>107</v>
      </c>
      <c r="H4" s="15">
        <f t="shared" si="4"/>
        <v>0</v>
      </c>
      <c r="I4" s="15">
        <f t="shared" si="5"/>
        <v>40</v>
      </c>
      <c r="J4" s="36">
        <f t="shared" si="6"/>
        <v>6.8027210884353739E-3</v>
      </c>
      <c r="P4" s="15" t="str">
        <v>first</v>
      </c>
      <c r="X4" s="57"/>
      <c r="CA4" s="22"/>
    </row>
    <row r="5" spans="1:79" x14ac:dyDescent="0.3">
      <c r="A5" s="44"/>
      <c r="B5" s="15">
        <v>1</v>
      </c>
      <c r="C5" s="17" t="s">
        <v>20</v>
      </c>
      <c r="D5" s="15">
        <f t="shared" si="0"/>
        <v>1</v>
      </c>
      <c r="E5" s="15">
        <f t="shared" si="1"/>
        <v>124</v>
      </c>
      <c r="F5" s="15">
        <f t="shared" si="2"/>
        <v>8.658008658008658E-3</v>
      </c>
      <c r="G5" s="15">
        <f t="shared" si="3"/>
        <v>107</v>
      </c>
      <c r="H5" s="15">
        <f t="shared" si="4"/>
        <v>0</v>
      </c>
      <c r="I5" s="15">
        <f t="shared" si="5"/>
        <v>40</v>
      </c>
      <c r="J5" s="36">
        <f t="shared" si="6"/>
        <v>6.8027210884353739E-3</v>
      </c>
      <c r="P5" s="15" t="str">
        <v>time</v>
      </c>
      <c r="X5" s="57"/>
      <c r="CA5" s="22"/>
    </row>
    <row r="6" spans="1:79" x14ac:dyDescent="0.3">
      <c r="A6" s="44"/>
      <c r="B6" s="15">
        <v>1</v>
      </c>
      <c r="C6" s="17" t="s">
        <v>21</v>
      </c>
      <c r="D6" s="15">
        <f t="shared" si="0"/>
        <v>2</v>
      </c>
      <c r="E6" s="15">
        <f t="shared" si="1"/>
        <v>124</v>
      </c>
      <c r="F6" s="15">
        <f t="shared" si="2"/>
        <v>1.2987012987012988E-2</v>
      </c>
      <c r="G6" s="15">
        <f t="shared" si="3"/>
        <v>107</v>
      </c>
      <c r="H6" s="15">
        <f t="shared" si="4"/>
        <v>0</v>
      </c>
      <c r="I6" s="15">
        <f t="shared" si="5"/>
        <v>40</v>
      </c>
      <c r="J6" s="36">
        <f t="shared" si="6"/>
        <v>6.8027210884353739E-3</v>
      </c>
      <c r="P6" s="15" t="str">
        <v>new</v>
      </c>
      <c r="X6" s="57"/>
      <c r="CA6" s="22"/>
    </row>
    <row r="7" spans="1:79" x14ac:dyDescent="0.3">
      <c r="A7" s="44"/>
      <c r="B7" s="15">
        <v>1</v>
      </c>
      <c r="C7" s="17" t="s">
        <v>292</v>
      </c>
      <c r="D7" s="15">
        <f t="shared" si="0"/>
        <v>2</v>
      </c>
      <c r="E7" s="15">
        <f t="shared" si="1"/>
        <v>124</v>
      </c>
      <c r="F7" s="15">
        <f t="shared" si="2"/>
        <v>1.2987012987012988E-2</v>
      </c>
      <c r="G7" s="15">
        <f t="shared" si="3"/>
        <v>107</v>
      </c>
      <c r="H7" s="15">
        <f t="shared" si="4"/>
        <v>0</v>
      </c>
      <c r="I7" s="15">
        <f t="shared" si="5"/>
        <v>40</v>
      </c>
      <c r="J7" s="36">
        <f t="shared" si="6"/>
        <v>6.8027210884353739E-3</v>
      </c>
      <c r="P7" s="15" t="str">
        <v>mom</v>
      </c>
      <c r="X7" s="57"/>
      <c r="CA7" s="22"/>
    </row>
    <row r="8" spans="1:79" x14ac:dyDescent="0.3">
      <c r="A8" s="44"/>
      <c r="B8" s="15">
        <v>1</v>
      </c>
      <c r="C8" s="17" t="s">
        <v>14</v>
      </c>
      <c r="D8" s="15">
        <f t="shared" si="0"/>
        <v>4</v>
      </c>
      <c r="E8" s="15">
        <f t="shared" si="1"/>
        <v>124</v>
      </c>
      <c r="F8" s="15">
        <f t="shared" si="2"/>
        <v>2.1645021645021644E-2</v>
      </c>
      <c r="G8" s="15">
        <f t="shared" si="3"/>
        <v>107</v>
      </c>
      <c r="H8" s="15">
        <f t="shared" si="4"/>
        <v>0</v>
      </c>
      <c r="I8" s="15">
        <f t="shared" si="5"/>
        <v>40</v>
      </c>
      <c r="J8" s="36">
        <f t="shared" si="6"/>
        <v>6.8027210884353739E-3</v>
      </c>
      <c r="P8" s="15" t="str">
        <v>made</v>
      </c>
      <c r="X8" s="57"/>
      <c r="AN8" s="23"/>
      <c r="AO8" s="23"/>
      <c r="AP8" s="23"/>
      <c r="AQ8" s="23"/>
      <c r="AR8" s="23"/>
      <c r="AS8" s="23"/>
      <c r="CA8" s="22"/>
    </row>
    <row r="9" spans="1:79" x14ac:dyDescent="0.3">
      <c r="A9" s="44"/>
      <c r="B9" s="15">
        <v>1</v>
      </c>
      <c r="C9" s="17" t="s">
        <v>25</v>
      </c>
      <c r="D9" s="15">
        <f t="shared" si="0"/>
        <v>1</v>
      </c>
      <c r="E9" s="15">
        <f t="shared" si="1"/>
        <v>124</v>
      </c>
      <c r="F9" s="15">
        <f t="shared" si="2"/>
        <v>8.658008658008658E-3</v>
      </c>
      <c r="G9" s="15">
        <f t="shared" si="3"/>
        <v>107</v>
      </c>
      <c r="H9" s="15">
        <f t="shared" si="4"/>
        <v>0</v>
      </c>
      <c r="I9" s="15">
        <f t="shared" si="5"/>
        <v>40</v>
      </c>
      <c r="J9" s="36">
        <f t="shared" si="6"/>
        <v>6.8027210884353739E-3</v>
      </c>
      <c r="P9" s="15" t="str">
        <v>easy</v>
      </c>
      <c r="X9" s="57"/>
      <c r="Y9" s="24"/>
      <c r="CA9" s="22"/>
    </row>
    <row r="10" spans="1:79" x14ac:dyDescent="0.3">
      <c r="A10" s="44"/>
      <c r="B10" s="15">
        <v>1</v>
      </c>
      <c r="C10" s="17" t="s">
        <v>28</v>
      </c>
      <c r="D10" s="15">
        <f t="shared" si="0"/>
        <v>2</v>
      </c>
      <c r="E10" s="15">
        <f t="shared" si="1"/>
        <v>124</v>
      </c>
      <c r="F10" s="15">
        <f t="shared" si="2"/>
        <v>1.2987012987012988E-2</v>
      </c>
      <c r="G10" s="15">
        <f t="shared" si="3"/>
        <v>107</v>
      </c>
      <c r="H10" s="15">
        <f t="shared" si="4"/>
        <v>0</v>
      </c>
      <c r="I10" s="15">
        <f t="shared" si="5"/>
        <v>40</v>
      </c>
      <c r="J10" s="36">
        <f t="shared" si="6"/>
        <v>6.8027210884353739E-3</v>
      </c>
      <c r="P10" s="15" t="str">
        <v>keep</v>
      </c>
      <c r="X10" s="57"/>
      <c r="Y10" s="24"/>
      <c r="CA10" s="22"/>
    </row>
    <row r="11" spans="1:79" x14ac:dyDescent="0.3">
      <c r="A11" s="44"/>
      <c r="B11" s="15">
        <v>1</v>
      </c>
      <c r="C11" s="17" t="s">
        <v>30</v>
      </c>
      <c r="D11" s="15">
        <f t="shared" si="0"/>
        <v>5</v>
      </c>
      <c r="E11" s="15">
        <f t="shared" si="1"/>
        <v>124</v>
      </c>
      <c r="F11" s="15">
        <f t="shared" si="2"/>
        <v>2.5974025974025976E-2</v>
      </c>
      <c r="G11" s="15">
        <f t="shared" si="3"/>
        <v>107</v>
      </c>
      <c r="H11" s="15">
        <f t="shared" si="4"/>
        <v>1</v>
      </c>
      <c r="I11" s="15">
        <f t="shared" si="5"/>
        <v>40</v>
      </c>
      <c r="J11" s="36">
        <f t="shared" si="6"/>
        <v>1.3605442176870748E-2</v>
      </c>
      <c r="P11" s="15" t="str">
        <v>track</v>
      </c>
      <c r="X11" s="57"/>
      <c r="CA11" s="22"/>
    </row>
    <row r="12" spans="1:79" x14ac:dyDescent="0.3">
      <c r="A12" s="44"/>
      <c r="B12" s="15">
        <v>1</v>
      </c>
      <c r="C12" s="17" t="s">
        <v>31</v>
      </c>
      <c r="D12" s="15">
        <f t="shared" si="0"/>
        <v>5</v>
      </c>
      <c r="E12" s="15">
        <f t="shared" si="1"/>
        <v>124</v>
      </c>
      <c r="F12" s="15">
        <f t="shared" si="2"/>
        <v>2.5974025974025976E-2</v>
      </c>
      <c r="G12" s="15">
        <f t="shared" si="3"/>
        <v>107</v>
      </c>
      <c r="H12" s="15">
        <f t="shared" si="4"/>
        <v>0</v>
      </c>
      <c r="I12" s="15">
        <f t="shared" si="5"/>
        <v>40</v>
      </c>
      <c r="J12" s="36">
        <f t="shared" si="6"/>
        <v>6.8027210884353739E-3</v>
      </c>
      <c r="P12" s="15" t="str">
        <v>feeding</v>
      </c>
      <c r="X12" s="57"/>
      <c r="CA12" s="22"/>
    </row>
    <row r="13" spans="1:79" ht="15.6" customHeight="1" x14ac:dyDescent="0.3">
      <c r="A13" s="44"/>
      <c r="B13" s="15">
        <v>1</v>
      </c>
      <c r="C13" s="18" t="s">
        <v>344</v>
      </c>
      <c r="D13" s="15">
        <f t="shared" si="0"/>
        <v>1</v>
      </c>
      <c r="E13" s="15">
        <f t="shared" si="1"/>
        <v>124</v>
      </c>
      <c r="F13" s="15">
        <f t="shared" si="2"/>
        <v>8.658008658008658E-3</v>
      </c>
      <c r="G13" s="15">
        <f t="shared" si="3"/>
        <v>107</v>
      </c>
      <c r="H13" s="15">
        <f t="shared" si="4"/>
        <v>0</v>
      </c>
      <c r="I13" s="15">
        <f t="shared" si="5"/>
        <v>40</v>
      </c>
      <c r="J13" s="36">
        <f t="shared" si="6"/>
        <v>6.8027210884353739E-3</v>
      </c>
      <c r="M13" s="24"/>
      <c r="N13" s="24"/>
      <c r="O13" s="24"/>
      <c r="P13" s="21" t="str">
        <v>diaper</v>
      </c>
      <c r="Q13" s="24"/>
      <c r="R13" s="24"/>
      <c r="S13" s="24"/>
      <c r="T13" s="24"/>
      <c r="U13" s="24"/>
      <c r="V13" s="24"/>
      <c r="W13" s="24"/>
      <c r="X13" s="57"/>
      <c r="AB13" s="24"/>
      <c r="AC13" s="24"/>
      <c r="AD13" s="24"/>
      <c r="AE13" s="24"/>
    </row>
    <row r="14" spans="1:79" ht="15.6" customHeight="1" x14ac:dyDescent="0.3">
      <c r="A14" s="44"/>
      <c r="B14" s="15">
        <v>1</v>
      </c>
      <c r="C14" s="17" t="s">
        <v>34</v>
      </c>
      <c r="D14" s="15">
        <f t="shared" si="0"/>
        <v>3</v>
      </c>
      <c r="E14" s="15">
        <f t="shared" si="1"/>
        <v>124</v>
      </c>
      <c r="F14" s="15">
        <f t="shared" si="2"/>
        <v>1.7316017316017316E-2</v>
      </c>
      <c r="G14" s="15">
        <f t="shared" si="3"/>
        <v>107</v>
      </c>
      <c r="H14" s="15">
        <f t="shared" si="4"/>
        <v>0</v>
      </c>
      <c r="I14" s="15">
        <f t="shared" si="5"/>
        <v>40</v>
      </c>
      <c r="J14" s="36">
        <f t="shared" si="6"/>
        <v>6.8027210884353739E-3</v>
      </c>
      <c r="P14" s="15" t="str">
        <v>change</v>
      </c>
      <c r="X14" s="57"/>
    </row>
    <row r="15" spans="1:79" ht="15.6" customHeight="1" x14ac:dyDescent="0.3">
      <c r="A15" s="44"/>
      <c r="B15" s="15">
        <v>1</v>
      </c>
      <c r="C15" s="17" t="s">
        <v>97</v>
      </c>
      <c r="D15" s="15">
        <f t="shared" si="0"/>
        <v>2</v>
      </c>
      <c r="E15" s="15">
        <f t="shared" si="1"/>
        <v>124</v>
      </c>
      <c r="F15" s="15">
        <f t="shared" si="2"/>
        <v>1.2987012987012988E-2</v>
      </c>
      <c r="G15" s="15">
        <f t="shared" si="3"/>
        <v>107</v>
      </c>
      <c r="H15" s="15">
        <f t="shared" si="4"/>
        <v>1</v>
      </c>
      <c r="I15" s="15">
        <f t="shared" si="5"/>
        <v>40</v>
      </c>
      <c r="J15" s="36">
        <f t="shared" si="6"/>
        <v>1.3605442176870748E-2</v>
      </c>
      <c r="P15" s="15" t="str">
        <v>sleep</v>
      </c>
      <c r="X15" s="57"/>
    </row>
    <row r="16" spans="1:79" ht="15.6" customHeight="1" x14ac:dyDescent="0.3">
      <c r="A16" s="44"/>
      <c r="B16" s="15">
        <v>1</v>
      </c>
      <c r="C16" s="17" t="s">
        <v>297</v>
      </c>
      <c r="D16" s="15">
        <f t="shared" si="0"/>
        <v>2</v>
      </c>
      <c r="E16" s="15">
        <f t="shared" si="1"/>
        <v>124</v>
      </c>
      <c r="F16" s="15">
        <f t="shared" si="2"/>
        <v>1.2987012987012988E-2</v>
      </c>
      <c r="G16" s="15">
        <f t="shared" si="3"/>
        <v>107</v>
      </c>
      <c r="H16" s="15">
        <f t="shared" si="4"/>
        <v>0</v>
      </c>
      <c r="I16" s="15">
        <f t="shared" si="5"/>
        <v>40</v>
      </c>
      <c r="J16" s="36">
        <f t="shared" si="6"/>
        <v>6.8027210884353739E-3</v>
      </c>
      <c r="P16" s="15" t="str">
        <v>definitely</v>
      </c>
      <c r="X16" s="57"/>
    </row>
    <row r="17" spans="1:31" ht="15.6" customHeight="1" x14ac:dyDescent="0.3">
      <c r="A17" s="44"/>
      <c r="B17" s="15">
        <v>1</v>
      </c>
      <c r="C17" s="18" t="s">
        <v>75</v>
      </c>
      <c r="D17" s="15">
        <f t="shared" si="0"/>
        <v>1</v>
      </c>
      <c r="E17" s="15">
        <f t="shared" si="1"/>
        <v>124</v>
      </c>
      <c r="F17" s="15">
        <f t="shared" si="2"/>
        <v>8.658008658008658E-3</v>
      </c>
      <c r="G17" s="15">
        <f t="shared" si="3"/>
        <v>107</v>
      </c>
      <c r="H17" s="15">
        <f t="shared" si="4"/>
        <v>0</v>
      </c>
      <c r="I17" s="15">
        <f t="shared" si="5"/>
        <v>40</v>
      </c>
      <c r="J17" s="36">
        <f t="shared" si="6"/>
        <v>6.8027210884353739E-3</v>
      </c>
      <c r="M17" s="24"/>
      <c r="N17" s="24"/>
      <c r="O17" s="24"/>
      <c r="P17" s="21" t="str">
        <v>recommend</v>
      </c>
      <c r="Q17" s="24"/>
      <c r="R17" s="24"/>
      <c r="S17" s="24"/>
      <c r="T17" s="24"/>
      <c r="U17" s="24"/>
      <c r="V17" s="24"/>
      <c r="W17" s="24"/>
      <c r="X17" s="57"/>
      <c r="AB17" s="24"/>
      <c r="AC17" s="24"/>
      <c r="AD17" s="24"/>
      <c r="AE17" s="24"/>
    </row>
    <row r="18" spans="1:31" ht="15.6" customHeight="1" x14ac:dyDescent="0.3">
      <c r="A18" s="44"/>
      <c r="B18" s="15">
        <v>1</v>
      </c>
      <c r="C18" s="17" t="s">
        <v>39</v>
      </c>
      <c r="D18" s="15">
        <f t="shared" si="0"/>
        <v>2</v>
      </c>
      <c r="E18" s="15">
        <f t="shared" si="1"/>
        <v>124</v>
      </c>
      <c r="F18" s="15">
        <f t="shared" si="2"/>
        <v>1.2987012987012988E-2</v>
      </c>
      <c r="G18" s="15">
        <f t="shared" si="3"/>
        <v>107</v>
      </c>
      <c r="H18" s="15">
        <f t="shared" si="4"/>
        <v>1</v>
      </c>
      <c r="I18" s="15">
        <f t="shared" si="5"/>
        <v>40</v>
      </c>
      <c r="J18" s="36">
        <f t="shared" si="6"/>
        <v>1.3605442176870748E-2</v>
      </c>
      <c r="P18" s="15" t="str">
        <v>plus</v>
      </c>
      <c r="X18" s="57"/>
    </row>
    <row r="19" spans="1:31" ht="15.6" customHeight="1" x14ac:dyDescent="0.3">
      <c r="A19" s="44"/>
      <c r="B19" s="15">
        <v>1</v>
      </c>
      <c r="C19" s="17" t="s">
        <v>21</v>
      </c>
      <c r="D19" s="15">
        <f t="shared" si="0"/>
        <v>2</v>
      </c>
      <c r="E19" s="15">
        <f t="shared" si="1"/>
        <v>124</v>
      </c>
      <c r="F19" s="15">
        <f t="shared" si="2"/>
        <v>1.2987012987012988E-2</v>
      </c>
      <c r="G19" s="15">
        <f t="shared" si="3"/>
        <v>107</v>
      </c>
      <c r="H19" s="15">
        <f t="shared" si="4"/>
        <v>0</v>
      </c>
      <c r="I19" s="15">
        <f t="shared" si="5"/>
        <v>40</v>
      </c>
      <c r="J19" s="36">
        <f t="shared" si="6"/>
        <v>6.8027210884353739E-3</v>
      </c>
      <c r="P19" s="15" t="str">
        <v>small</v>
      </c>
      <c r="X19" s="57"/>
    </row>
    <row r="20" spans="1:31" ht="15.6" customHeight="1" x14ac:dyDescent="0.3">
      <c r="A20" s="44"/>
      <c r="B20" s="15">
        <v>1</v>
      </c>
      <c r="C20" s="18" t="s">
        <v>292</v>
      </c>
      <c r="D20" s="15">
        <f t="shared" si="0"/>
        <v>2</v>
      </c>
      <c r="E20" s="15">
        <f t="shared" si="1"/>
        <v>124</v>
      </c>
      <c r="F20" s="15">
        <f t="shared" si="2"/>
        <v>1.2987012987012988E-2</v>
      </c>
      <c r="G20" s="15">
        <f t="shared" si="3"/>
        <v>107</v>
      </c>
      <c r="H20" s="15">
        <f t="shared" si="4"/>
        <v>0</v>
      </c>
      <c r="I20" s="15">
        <f t="shared" si="5"/>
        <v>40</v>
      </c>
      <c r="J20" s="36">
        <f t="shared" si="6"/>
        <v>6.8027210884353739E-3</v>
      </c>
      <c r="M20" s="24"/>
      <c r="N20" s="24"/>
      <c r="O20" s="24"/>
      <c r="P20" s="21" t="str">
        <v>enough</v>
      </c>
      <c r="Q20" s="24"/>
      <c r="R20" s="24"/>
      <c r="S20" s="24"/>
      <c r="T20" s="24"/>
      <c r="U20" s="24"/>
      <c r="V20" s="24"/>
      <c r="W20" s="24"/>
      <c r="X20" s="57"/>
      <c r="AB20" s="24"/>
      <c r="AC20" s="24"/>
      <c r="AD20" s="24"/>
      <c r="AE20" s="24"/>
    </row>
    <row r="21" spans="1:31" ht="15.6" customHeight="1" x14ac:dyDescent="0.3">
      <c r="A21" s="44"/>
      <c r="B21" s="15">
        <v>1</v>
      </c>
      <c r="C21" s="17" t="s">
        <v>323</v>
      </c>
      <c r="D21" s="15">
        <f t="shared" si="0"/>
        <v>1</v>
      </c>
      <c r="E21" s="15">
        <f t="shared" si="1"/>
        <v>124</v>
      </c>
      <c r="F21" s="15">
        <f t="shared" si="2"/>
        <v>8.658008658008658E-3</v>
      </c>
      <c r="G21" s="15">
        <f t="shared" si="3"/>
        <v>107</v>
      </c>
      <c r="H21" s="15">
        <f t="shared" si="4"/>
        <v>0</v>
      </c>
      <c r="I21" s="15">
        <f t="shared" si="5"/>
        <v>40</v>
      </c>
      <c r="J21" s="36">
        <f t="shared" si="6"/>
        <v>6.8027210884353739E-3</v>
      </c>
      <c r="P21" s="15" t="str">
        <v>throw</v>
      </c>
      <c r="X21" s="57"/>
      <c r="Y21" s="24"/>
    </row>
    <row r="22" spans="1:31" ht="15.6" customHeight="1" x14ac:dyDescent="0.3">
      <c r="A22" s="44"/>
      <c r="B22" s="15">
        <v>1</v>
      </c>
      <c r="C22" s="17" t="s">
        <v>44</v>
      </c>
      <c r="D22" s="15">
        <f t="shared" si="0"/>
        <v>1</v>
      </c>
      <c r="E22" s="15">
        <f t="shared" si="1"/>
        <v>124</v>
      </c>
      <c r="F22" s="15">
        <f t="shared" si="2"/>
        <v>8.658008658008658E-3</v>
      </c>
      <c r="G22" s="15">
        <f t="shared" si="3"/>
        <v>107</v>
      </c>
      <c r="H22" s="15">
        <f t="shared" si="4"/>
        <v>0</v>
      </c>
      <c r="I22" s="15">
        <f t="shared" si="5"/>
        <v>40</v>
      </c>
      <c r="J22" s="36">
        <f t="shared" si="6"/>
        <v>6.8027210884353739E-3</v>
      </c>
      <c r="P22" s="15" t="str">
        <v>back</v>
      </c>
      <c r="X22" s="57"/>
    </row>
    <row r="23" spans="1:31" ht="15.6" customHeight="1" x14ac:dyDescent="0.3">
      <c r="A23" s="44"/>
      <c r="B23" s="15">
        <v>1</v>
      </c>
      <c r="C23" s="17" t="s">
        <v>45</v>
      </c>
      <c r="D23" s="15">
        <f t="shared" si="0"/>
        <v>1</v>
      </c>
      <c r="E23" s="15">
        <f t="shared" si="1"/>
        <v>124</v>
      </c>
      <c r="F23" s="15">
        <f t="shared" si="2"/>
        <v>8.658008658008658E-3</v>
      </c>
      <c r="G23" s="15">
        <f t="shared" si="3"/>
        <v>107</v>
      </c>
      <c r="H23" s="15">
        <f t="shared" si="4"/>
        <v>0</v>
      </c>
      <c r="I23" s="15">
        <f t="shared" si="5"/>
        <v>40</v>
      </c>
      <c r="J23" s="36">
        <f t="shared" si="6"/>
        <v>6.8027210884353739E-3</v>
      </c>
      <c r="P23" s="15" t="str">
        <v>doctor</v>
      </c>
      <c r="X23" s="57"/>
      <c r="Y23" s="24"/>
    </row>
    <row r="24" spans="1:31" ht="15.6" customHeight="1" x14ac:dyDescent="0.3">
      <c r="A24" s="44"/>
      <c r="B24" s="15">
        <v>1</v>
      </c>
      <c r="C24" s="17" t="s">
        <v>48</v>
      </c>
      <c r="D24" s="15">
        <f t="shared" si="0"/>
        <v>1</v>
      </c>
      <c r="E24" s="15">
        <f t="shared" si="1"/>
        <v>124</v>
      </c>
      <c r="F24" s="15">
        <f t="shared" si="2"/>
        <v>8.658008658008658E-3</v>
      </c>
      <c r="G24" s="15">
        <f t="shared" si="3"/>
        <v>107</v>
      </c>
      <c r="H24" s="15">
        <f t="shared" si="4"/>
        <v>1</v>
      </c>
      <c r="I24" s="15">
        <f t="shared" si="5"/>
        <v>40</v>
      </c>
      <c r="J24" s="36">
        <f t="shared" si="6"/>
        <v>1.3605442176870748E-2</v>
      </c>
      <c r="P24" s="15" t="str">
        <v>use</v>
      </c>
      <c r="X24" s="57"/>
    </row>
    <row r="25" spans="1:31" ht="15.6" customHeight="1" x14ac:dyDescent="0.3">
      <c r="A25" s="44"/>
      <c r="B25" s="15">
        <v>1</v>
      </c>
      <c r="C25" s="17" t="s">
        <v>34</v>
      </c>
      <c r="D25" s="15">
        <f t="shared" si="0"/>
        <v>3</v>
      </c>
      <c r="E25" s="15">
        <f t="shared" si="1"/>
        <v>124</v>
      </c>
      <c r="F25" s="15">
        <f t="shared" si="2"/>
        <v>1.7316017316017316E-2</v>
      </c>
      <c r="G25" s="15">
        <f t="shared" si="3"/>
        <v>107</v>
      </c>
      <c r="H25" s="15">
        <f t="shared" si="4"/>
        <v>0</v>
      </c>
      <c r="I25" s="15">
        <f t="shared" si="5"/>
        <v>40</v>
      </c>
      <c r="J25" s="36">
        <f t="shared" si="6"/>
        <v>6.8027210884353739E-3</v>
      </c>
      <c r="P25" s="15" t="str">
        <v>babysitter</v>
      </c>
      <c r="X25" s="57"/>
    </row>
    <row r="26" spans="1:31" ht="15.6" customHeight="1" x14ac:dyDescent="0.3">
      <c r="A26" s="44"/>
      <c r="B26" s="15">
        <v>1</v>
      </c>
      <c r="C26" s="17" t="s">
        <v>51</v>
      </c>
      <c r="D26" s="15">
        <f t="shared" si="0"/>
        <v>1</v>
      </c>
      <c r="E26" s="15">
        <f t="shared" si="1"/>
        <v>124</v>
      </c>
      <c r="F26" s="15">
        <f t="shared" si="2"/>
        <v>8.658008658008658E-3</v>
      </c>
      <c r="G26" s="15">
        <f t="shared" si="3"/>
        <v>107</v>
      </c>
      <c r="H26" s="15">
        <f t="shared" si="4"/>
        <v>0</v>
      </c>
      <c r="I26" s="15">
        <f t="shared" si="5"/>
        <v>40</v>
      </c>
      <c r="J26" s="36">
        <f t="shared" si="6"/>
        <v>6.8027210884353739E-3</v>
      </c>
      <c r="P26" s="15" t="str">
        <v>grandma</v>
      </c>
      <c r="X26" s="57"/>
    </row>
    <row r="27" spans="1:31" ht="15.6" customHeight="1" x14ac:dyDescent="0.3">
      <c r="A27" s="44"/>
      <c r="B27" s="15">
        <v>1</v>
      </c>
      <c r="C27" s="17" t="s">
        <v>52</v>
      </c>
      <c r="D27" s="15">
        <f t="shared" si="0"/>
        <v>3</v>
      </c>
      <c r="E27" s="15">
        <f t="shared" si="1"/>
        <v>124</v>
      </c>
      <c r="F27" s="15">
        <f t="shared" si="2"/>
        <v>1.7316017316017316E-2</v>
      </c>
      <c r="G27" s="15">
        <f t="shared" si="3"/>
        <v>107</v>
      </c>
      <c r="H27" s="15">
        <f t="shared" si="4"/>
        <v>0</v>
      </c>
      <c r="I27" s="15">
        <f t="shared" si="5"/>
        <v>40</v>
      </c>
      <c r="J27" s="36">
        <f t="shared" si="6"/>
        <v>6.8027210884353739E-3</v>
      </c>
      <c r="P27" s="15" t="str">
        <v>day</v>
      </c>
      <c r="X27" s="57"/>
    </row>
    <row r="28" spans="1:31" ht="15.6" customHeight="1" x14ac:dyDescent="0.3">
      <c r="A28" s="45" t="s">
        <v>55</v>
      </c>
      <c r="B28" s="15">
        <v>1</v>
      </c>
      <c r="C28" s="17" t="s">
        <v>56</v>
      </c>
      <c r="D28" s="15">
        <f t="shared" si="0"/>
        <v>2</v>
      </c>
      <c r="E28" s="15">
        <f t="shared" si="1"/>
        <v>124</v>
      </c>
      <c r="F28" s="15">
        <f t="shared" si="2"/>
        <v>1.2987012987012988E-2</v>
      </c>
      <c r="G28" s="15">
        <f t="shared" si="3"/>
        <v>107</v>
      </c>
      <c r="H28" s="15">
        <f t="shared" si="4"/>
        <v>1</v>
      </c>
      <c r="I28" s="15">
        <f t="shared" si="5"/>
        <v>40</v>
      </c>
      <c r="J28" s="36">
        <f t="shared" si="6"/>
        <v>1.3605442176870748E-2</v>
      </c>
      <c r="P28" s="15" t="str">
        <v>record</v>
      </c>
      <c r="X28" s="57"/>
    </row>
    <row r="29" spans="1:31" ht="15.6" customHeight="1" x14ac:dyDescent="0.3">
      <c r="A29" s="46"/>
      <c r="B29" s="15">
        <v>1</v>
      </c>
      <c r="C29" s="17" t="s">
        <v>58</v>
      </c>
      <c r="D29" s="15">
        <f t="shared" si="0"/>
        <v>1</v>
      </c>
      <c r="E29" s="15">
        <f t="shared" si="1"/>
        <v>124</v>
      </c>
      <c r="F29" s="15">
        <f t="shared" si="2"/>
        <v>8.658008658008658E-3</v>
      </c>
      <c r="G29" s="15">
        <f t="shared" si="3"/>
        <v>107</v>
      </c>
      <c r="H29" s="15">
        <f t="shared" si="4"/>
        <v>0</v>
      </c>
      <c r="I29" s="15">
        <f t="shared" si="5"/>
        <v>40</v>
      </c>
      <c r="J29" s="36">
        <f t="shared" si="6"/>
        <v>6.8027210884353739E-3</v>
      </c>
      <c r="P29" s="15" t="str">
        <v>many</v>
      </c>
      <c r="X29" s="57"/>
    </row>
    <row r="30" spans="1:31" ht="15.6" customHeight="1" x14ac:dyDescent="0.3">
      <c r="A30" s="46"/>
      <c r="B30" s="15">
        <v>1</v>
      </c>
      <c r="C30" s="17" t="s">
        <v>315</v>
      </c>
      <c r="D30" s="15">
        <f t="shared" si="0"/>
        <v>1</v>
      </c>
      <c r="E30" s="15">
        <f t="shared" si="1"/>
        <v>124</v>
      </c>
      <c r="F30" s="15">
        <f t="shared" si="2"/>
        <v>8.658008658008658E-3</v>
      </c>
      <c r="G30" s="15">
        <f t="shared" si="3"/>
        <v>107</v>
      </c>
      <c r="H30" s="15">
        <f t="shared" si="4"/>
        <v>0</v>
      </c>
      <c r="I30" s="15">
        <f t="shared" si="5"/>
        <v>40</v>
      </c>
      <c r="J30" s="36">
        <f t="shared" si="6"/>
        <v>6.8027210884353739E-3</v>
      </c>
      <c r="P30" s="15" t="str">
        <v>milestone</v>
      </c>
      <c r="X30" s="57"/>
    </row>
    <row r="31" spans="1:31" ht="15.6" customHeight="1" x14ac:dyDescent="0.3">
      <c r="A31" s="46"/>
      <c r="B31" s="15">
        <v>1</v>
      </c>
      <c r="C31" s="17" t="s">
        <v>30</v>
      </c>
      <c r="D31" s="15">
        <f t="shared" si="0"/>
        <v>5</v>
      </c>
      <c r="E31" s="15">
        <f t="shared" si="1"/>
        <v>124</v>
      </c>
      <c r="F31" s="15">
        <f t="shared" si="2"/>
        <v>2.5974025974025976E-2</v>
      </c>
      <c r="G31" s="15">
        <f t="shared" si="3"/>
        <v>107</v>
      </c>
      <c r="H31" s="15">
        <f t="shared" si="4"/>
        <v>1</v>
      </c>
      <c r="I31" s="15">
        <f t="shared" si="5"/>
        <v>40</v>
      </c>
      <c r="J31" s="36">
        <f t="shared" si="6"/>
        <v>1.3605442176870748E-2</v>
      </c>
      <c r="P31" s="15" t="str">
        <v>receive</v>
      </c>
      <c r="X31" s="57"/>
    </row>
    <row r="32" spans="1:31" ht="15.6" customHeight="1" x14ac:dyDescent="0.3">
      <c r="A32" s="46"/>
      <c r="B32" s="15">
        <v>1</v>
      </c>
      <c r="C32" s="17" t="s">
        <v>31</v>
      </c>
      <c r="D32" s="15">
        <f t="shared" si="0"/>
        <v>5</v>
      </c>
      <c r="E32" s="15">
        <f t="shared" si="1"/>
        <v>124</v>
      </c>
      <c r="F32" s="15">
        <f t="shared" si="2"/>
        <v>2.5974025974025976E-2</v>
      </c>
      <c r="G32" s="15">
        <f t="shared" si="3"/>
        <v>107</v>
      </c>
      <c r="H32" s="15">
        <f t="shared" si="4"/>
        <v>0</v>
      </c>
      <c r="I32" s="15">
        <f t="shared" si="5"/>
        <v>40</v>
      </c>
      <c r="J32" s="36">
        <f t="shared" si="6"/>
        <v>6.8027210884353739E-3</v>
      </c>
      <c r="P32" s="15" t="str">
        <v>definite</v>
      </c>
      <c r="X32" s="57"/>
    </row>
    <row r="33" spans="1:25" ht="15.6" customHeight="1" x14ac:dyDescent="0.3">
      <c r="A33" s="46"/>
      <c r="B33" s="15">
        <v>1</v>
      </c>
      <c r="C33" s="17" t="s">
        <v>300</v>
      </c>
      <c r="D33" s="15">
        <f t="shared" si="0"/>
        <v>1</v>
      </c>
      <c r="E33" s="15">
        <f t="shared" si="1"/>
        <v>124</v>
      </c>
      <c r="F33" s="15">
        <f t="shared" si="2"/>
        <v>8.658008658008658E-3</v>
      </c>
      <c r="G33" s="15">
        <f t="shared" si="3"/>
        <v>107</v>
      </c>
      <c r="H33" s="15">
        <f t="shared" si="4"/>
        <v>0</v>
      </c>
      <c r="I33" s="15">
        <f t="shared" si="5"/>
        <v>40</v>
      </c>
      <c r="J33" s="36">
        <f t="shared" si="6"/>
        <v>6.8027210884353739E-3</v>
      </c>
      <c r="O33" s="24"/>
      <c r="P33" s="15" t="str">
        <v>get</v>
      </c>
      <c r="X33" s="57"/>
    </row>
    <row r="34" spans="1:25" ht="15.6" customHeight="1" x14ac:dyDescent="0.3">
      <c r="A34" s="46"/>
      <c r="B34" s="15">
        <v>1</v>
      </c>
      <c r="C34" s="18" t="s">
        <v>342</v>
      </c>
      <c r="D34" s="15">
        <f t="shared" ref="D34:D65" si="7">COUNTIFS($C$2:$C$165,C34,$B$2:$B$165,1)</f>
        <v>1</v>
      </c>
      <c r="E34" s="15">
        <f t="shared" ref="E34:E65" si="8">COUNTIF($B$2:$B$165,1)</f>
        <v>124</v>
      </c>
      <c r="F34" s="15">
        <f t="shared" ref="F34:F65" si="9">(D34+$B$2)/($E$2+$G$2)</f>
        <v>8.658008658008658E-3</v>
      </c>
      <c r="G34" s="15">
        <f t="shared" ref="G34:G65" si="10">COUNTIF($P$2:$P$108,"&lt;&gt;")</f>
        <v>107</v>
      </c>
      <c r="H34" s="15">
        <f t="shared" ref="H34:H65" si="11">COUNTIFS($C$2:$C$165,C34,$B$2:$B$165,0)</f>
        <v>0</v>
      </c>
      <c r="I34" s="15">
        <f t="shared" ref="I34:I65" si="12">COUNTIF($B$2:$B$165,0)</f>
        <v>40</v>
      </c>
      <c r="J34" s="36">
        <f t="shared" ref="J34:J65" si="13">(H34+$B$2)/($I$2+$G$2)</f>
        <v>6.8027210884353739E-3</v>
      </c>
      <c r="P34" s="15" t="str">
        <v>another</v>
      </c>
      <c r="X34" s="57"/>
      <c r="Y34" s="24"/>
    </row>
    <row r="35" spans="1:25" ht="15.6" customHeight="1" x14ac:dyDescent="0.3">
      <c r="A35" s="46"/>
      <c r="B35" s="15">
        <v>1</v>
      </c>
      <c r="C35" s="17" t="s">
        <v>68</v>
      </c>
      <c r="D35" s="15">
        <f t="shared" si="7"/>
        <v>1</v>
      </c>
      <c r="E35" s="15">
        <f t="shared" si="8"/>
        <v>124</v>
      </c>
      <c r="F35" s="15">
        <f t="shared" si="9"/>
        <v>8.658008658008658E-3</v>
      </c>
      <c r="G35" s="15">
        <f t="shared" si="10"/>
        <v>107</v>
      </c>
      <c r="H35" s="15">
        <f t="shared" si="11"/>
        <v>0</v>
      </c>
      <c r="I35" s="15">
        <f t="shared" si="12"/>
        <v>40</v>
      </c>
      <c r="J35" s="36">
        <f t="shared" si="13"/>
        <v>6.8027210884353739E-3</v>
      </c>
      <c r="M35" s="19" t="e" vm="1">
        <v>#VALUE!</v>
      </c>
      <c r="P35" s="15" t="str">
        <v>one</v>
      </c>
      <c r="X35" s="57"/>
      <c r="Y35" s="24"/>
    </row>
    <row r="36" spans="1:25" ht="15.6" customHeight="1" x14ac:dyDescent="0.3">
      <c r="A36" s="46"/>
      <c r="B36" s="15">
        <v>1</v>
      </c>
      <c r="C36" s="18" t="s">
        <v>346</v>
      </c>
      <c r="D36" s="15">
        <f t="shared" si="7"/>
        <v>1</v>
      </c>
      <c r="E36" s="15">
        <f t="shared" si="8"/>
        <v>124</v>
      </c>
      <c r="F36" s="15">
        <f t="shared" si="9"/>
        <v>8.658008658008658E-3</v>
      </c>
      <c r="G36" s="15">
        <f t="shared" si="10"/>
        <v>107</v>
      </c>
      <c r="H36" s="15">
        <f t="shared" si="11"/>
        <v>0</v>
      </c>
      <c r="I36" s="15">
        <f t="shared" si="12"/>
        <v>40</v>
      </c>
      <c r="J36" s="36">
        <f t="shared" si="13"/>
        <v>6.8027210884353739E-3</v>
      </c>
      <c r="P36" s="15" t="str">
        <v>month</v>
      </c>
      <c r="X36" s="57"/>
    </row>
    <row r="37" spans="1:25" ht="15.6" customHeight="1" x14ac:dyDescent="0.3">
      <c r="A37" s="46"/>
      <c r="B37" s="15">
        <v>1</v>
      </c>
      <c r="C37" s="18" t="s">
        <v>343</v>
      </c>
      <c r="D37" s="15">
        <f t="shared" si="7"/>
        <v>1</v>
      </c>
      <c r="E37" s="15">
        <f t="shared" si="8"/>
        <v>124</v>
      </c>
      <c r="F37" s="15">
        <f t="shared" si="9"/>
        <v>8.658008658008658E-3</v>
      </c>
      <c r="G37" s="15">
        <f t="shared" si="10"/>
        <v>107</v>
      </c>
      <c r="H37" s="15">
        <f t="shared" si="11"/>
        <v>0</v>
      </c>
      <c r="I37" s="15">
        <f t="shared" si="12"/>
        <v>40</v>
      </c>
      <c r="J37" s="36">
        <f t="shared" si="13"/>
        <v>6.8027210884353739E-3</v>
      </c>
      <c r="O37" s="24"/>
      <c r="P37" s="15" t="str">
        <v>finish</v>
      </c>
      <c r="X37" s="57"/>
      <c r="Y37" s="24"/>
    </row>
    <row r="38" spans="1:25" ht="15.6" customHeight="1" x14ac:dyDescent="0.3">
      <c r="A38" s="46"/>
      <c r="B38" s="15">
        <v>1</v>
      </c>
      <c r="C38" s="18" t="s">
        <v>345</v>
      </c>
      <c r="D38" s="15">
        <f t="shared" si="7"/>
        <v>1</v>
      </c>
      <c r="E38" s="15">
        <f t="shared" si="8"/>
        <v>124</v>
      </c>
      <c r="F38" s="15">
        <f t="shared" si="9"/>
        <v>8.658008658008658E-3</v>
      </c>
      <c r="G38" s="15">
        <f t="shared" si="10"/>
        <v>107</v>
      </c>
      <c r="H38" s="15">
        <f t="shared" si="11"/>
        <v>0</v>
      </c>
      <c r="I38" s="15">
        <f t="shared" si="12"/>
        <v>40</v>
      </c>
      <c r="J38" s="36">
        <f t="shared" si="13"/>
        <v>6.8027210884353739E-3</v>
      </c>
      <c r="O38" s="24"/>
      <c r="P38" s="15" t="str">
        <v>since</v>
      </c>
      <c r="X38" s="57"/>
      <c r="Y38" s="24"/>
    </row>
    <row r="39" spans="1:25" ht="14.4" x14ac:dyDescent="0.3">
      <c r="A39" s="46"/>
      <c r="B39" s="15">
        <v>1</v>
      </c>
      <c r="C39" s="17" t="s">
        <v>76</v>
      </c>
      <c r="D39" s="15">
        <f t="shared" si="7"/>
        <v>2</v>
      </c>
      <c r="E39" s="15">
        <f t="shared" si="8"/>
        <v>124</v>
      </c>
      <c r="F39" s="15">
        <f t="shared" si="9"/>
        <v>1.2987012987012988E-2</v>
      </c>
      <c r="G39" s="15">
        <f t="shared" si="10"/>
        <v>107</v>
      </c>
      <c r="H39" s="15">
        <f t="shared" si="11"/>
        <v>0</v>
      </c>
      <c r="I39" s="15">
        <f t="shared" si="12"/>
        <v>40</v>
      </c>
      <c r="J39" s="36">
        <f t="shared" si="13"/>
        <v>6.8027210884353739E-3</v>
      </c>
      <c r="P39" s="15" t="str">
        <v>son</v>
      </c>
    </row>
    <row r="40" spans="1:25" ht="14.4" x14ac:dyDescent="0.3">
      <c r="A40" s="46"/>
      <c r="B40" s="15">
        <v>1</v>
      </c>
      <c r="C40" s="17" t="s">
        <v>77</v>
      </c>
      <c r="D40" s="15">
        <f t="shared" si="7"/>
        <v>1</v>
      </c>
      <c r="E40" s="15">
        <f t="shared" si="8"/>
        <v>124</v>
      </c>
      <c r="F40" s="15">
        <f t="shared" si="9"/>
        <v>8.658008658008658E-3</v>
      </c>
      <c r="G40" s="15">
        <f t="shared" si="10"/>
        <v>107</v>
      </c>
      <c r="H40" s="15">
        <f t="shared" si="11"/>
        <v>0</v>
      </c>
      <c r="I40" s="15">
        <f t="shared" si="12"/>
        <v>40</v>
      </c>
      <c r="J40" s="36">
        <f t="shared" si="13"/>
        <v>6.8027210884353739E-3</v>
      </c>
      <c r="P40" s="15" t="str">
        <v>born</v>
      </c>
    </row>
    <row r="41" spans="1:25" ht="14.4" x14ac:dyDescent="0.3">
      <c r="A41" s="46"/>
      <c r="B41" s="15">
        <v>1</v>
      </c>
      <c r="C41" s="51" t="s">
        <v>78</v>
      </c>
      <c r="D41" s="15">
        <f t="shared" si="7"/>
        <v>3</v>
      </c>
      <c r="E41" s="15">
        <f t="shared" si="8"/>
        <v>124</v>
      </c>
      <c r="F41" s="15">
        <f t="shared" si="9"/>
        <v>1.7316017316017316E-2</v>
      </c>
      <c r="G41" s="15">
        <f t="shared" si="10"/>
        <v>107</v>
      </c>
      <c r="H41" s="15">
        <f t="shared" si="11"/>
        <v>0</v>
      </c>
      <c r="I41" s="15">
        <f t="shared" si="12"/>
        <v>40</v>
      </c>
      <c r="J41" s="36">
        <f t="shared" si="13"/>
        <v>6.8027210884353739E-3</v>
      </c>
      <c r="P41" s="15" t="str">
        <v>great</v>
      </c>
    </row>
    <row r="42" spans="1:25" ht="14.4" x14ac:dyDescent="0.3">
      <c r="A42" s="46"/>
      <c r="B42" s="15">
        <v>1</v>
      </c>
      <c r="C42" s="18" t="s">
        <v>309</v>
      </c>
      <c r="D42" s="15">
        <f t="shared" si="7"/>
        <v>2</v>
      </c>
      <c r="E42" s="15">
        <f t="shared" si="8"/>
        <v>124</v>
      </c>
      <c r="F42" s="15">
        <f t="shared" si="9"/>
        <v>1.2987012987012988E-2</v>
      </c>
      <c r="G42" s="15">
        <f t="shared" si="10"/>
        <v>107</v>
      </c>
      <c r="H42" s="15">
        <f t="shared" si="11"/>
        <v>0</v>
      </c>
      <c r="I42" s="15">
        <f t="shared" si="12"/>
        <v>40</v>
      </c>
      <c r="J42" s="36">
        <f t="shared" si="13"/>
        <v>6.8027210884353739E-3</v>
      </c>
      <c r="P42" s="15" t="str">
        <v>handy</v>
      </c>
    </row>
    <row r="43" spans="1:25" ht="14.4" x14ac:dyDescent="0.3">
      <c r="A43" s="46"/>
      <c r="B43" s="15">
        <v>1</v>
      </c>
      <c r="C43" s="17" t="s">
        <v>81</v>
      </c>
      <c r="D43" s="15">
        <f t="shared" si="7"/>
        <v>1</v>
      </c>
      <c r="E43" s="15">
        <f t="shared" si="8"/>
        <v>124</v>
      </c>
      <c r="F43" s="15">
        <f t="shared" si="9"/>
        <v>8.658008658008658E-3</v>
      </c>
      <c r="G43" s="15">
        <f t="shared" si="10"/>
        <v>107</v>
      </c>
      <c r="H43" s="15">
        <f t="shared" si="11"/>
        <v>0</v>
      </c>
      <c r="I43" s="15">
        <f t="shared" si="12"/>
        <v>40</v>
      </c>
      <c r="J43" s="36">
        <f t="shared" si="13"/>
        <v>6.8027210884353739E-3</v>
      </c>
      <c r="P43" s="15" t="str">
        <v>way</v>
      </c>
    </row>
    <row r="44" spans="1:25" ht="14.4" x14ac:dyDescent="0.3">
      <c r="A44" s="46"/>
      <c r="B44" s="15">
        <v>1</v>
      </c>
      <c r="C44" s="17" t="s">
        <v>14</v>
      </c>
      <c r="D44" s="15">
        <f t="shared" si="7"/>
        <v>4</v>
      </c>
      <c r="E44" s="15">
        <f t="shared" si="8"/>
        <v>124</v>
      </c>
      <c r="F44" s="15">
        <f t="shared" si="9"/>
        <v>2.1645021645021644E-2</v>
      </c>
      <c r="G44" s="15">
        <f t="shared" si="10"/>
        <v>107</v>
      </c>
      <c r="H44" s="15">
        <f t="shared" si="11"/>
        <v>0</v>
      </c>
      <c r="I44" s="15">
        <f t="shared" si="12"/>
        <v>40</v>
      </c>
      <c r="J44" s="36">
        <f t="shared" si="13"/>
        <v>6.8027210884353739E-3</v>
      </c>
      <c r="P44" s="15" t="str">
        <v>eat</v>
      </c>
    </row>
    <row r="45" spans="1:25" ht="14.4" x14ac:dyDescent="0.3">
      <c r="A45" s="45" t="s">
        <v>83</v>
      </c>
      <c r="B45" s="15">
        <v>1</v>
      </c>
      <c r="C45" s="18" t="s">
        <v>56</v>
      </c>
      <c r="D45" s="15">
        <f t="shared" si="7"/>
        <v>2</v>
      </c>
      <c r="E45" s="15">
        <f t="shared" si="8"/>
        <v>124</v>
      </c>
      <c r="F45" s="15">
        <f t="shared" si="9"/>
        <v>1.2987012987012988E-2</v>
      </c>
      <c r="G45" s="15">
        <f t="shared" si="10"/>
        <v>107</v>
      </c>
      <c r="H45" s="15">
        <f t="shared" si="11"/>
        <v>1</v>
      </c>
      <c r="I45" s="15">
        <f t="shared" si="12"/>
        <v>40</v>
      </c>
      <c r="J45" s="36">
        <f t="shared" si="13"/>
        <v>1.3605442176870748E-2</v>
      </c>
      <c r="P45" s="15" t="str">
        <v>make</v>
      </c>
    </row>
    <row r="46" spans="1:25" ht="14.4" x14ac:dyDescent="0.3">
      <c r="A46" s="46"/>
      <c r="B46" s="15">
        <v>1</v>
      </c>
      <c r="C46" s="17" t="s">
        <v>14</v>
      </c>
      <c r="D46" s="15">
        <f t="shared" si="7"/>
        <v>4</v>
      </c>
      <c r="E46" s="15">
        <f t="shared" si="8"/>
        <v>124</v>
      </c>
      <c r="F46" s="15">
        <f t="shared" si="9"/>
        <v>2.1645021645021644E-2</v>
      </c>
      <c r="G46" s="15">
        <f t="shared" si="10"/>
        <v>107</v>
      </c>
      <c r="H46" s="15">
        <f t="shared" si="11"/>
        <v>0</v>
      </c>
      <c r="I46" s="15">
        <f t="shared" si="12"/>
        <v>40</v>
      </c>
      <c r="J46" s="36">
        <f t="shared" si="13"/>
        <v>6.8027210884353739E-3</v>
      </c>
      <c r="P46" s="15" t="str">
        <v>discuss</v>
      </c>
    </row>
    <row r="47" spans="1:25" ht="14.4" x14ac:dyDescent="0.3">
      <c r="A47" s="46"/>
      <c r="B47" s="15">
        <v>1</v>
      </c>
      <c r="C47" s="17" t="s">
        <v>70</v>
      </c>
      <c r="D47" s="15">
        <f t="shared" si="7"/>
        <v>1</v>
      </c>
      <c r="E47" s="15">
        <f t="shared" si="8"/>
        <v>124</v>
      </c>
      <c r="F47" s="15">
        <f t="shared" si="9"/>
        <v>8.658008658008658E-3</v>
      </c>
      <c r="G47" s="15">
        <f t="shared" si="10"/>
        <v>107</v>
      </c>
      <c r="H47" s="15">
        <f t="shared" si="11"/>
        <v>0</v>
      </c>
      <c r="I47" s="15">
        <f t="shared" si="12"/>
        <v>40</v>
      </c>
      <c r="J47" s="36">
        <f t="shared" si="13"/>
        <v>6.8027210884353739E-3</v>
      </c>
      <c r="P47" s="15" t="str">
        <v>progress</v>
      </c>
    </row>
    <row r="48" spans="1:25" ht="14.4" x14ac:dyDescent="0.3">
      <c r="A48" s="46"/>
      <c r="B48" s="15">
        <v>1</v>
      </c>
      <c r="C48" s="17" t="s">
        <v>87</v>
      </c>
      <c r="D48" s="15">
        <f t="shared" si="7"/>
        <v>2</v>
      </c>
      <c r="E48" s="15">
        <f t="shared" si="8"/>
        <v>124</v>
      </c>
      <c r="F48" s="15">
        <f t="shared" si="9"/>
        <v>1.2987012987012988E-2</v>
      </c>
      <c r="G48" s="15">
        <f t="shared" si="10"/>
        <v>107</v>
      </c>
      <c r="H48" s="15">
        <f t="shared" si="11"/>
        <v>1</v>
      </c>
      <c r="I48" s="15">
        <f t="shared" si="12"/>
        <v>40</v>
      </c>
      <c r="J48" s="36">
        <f t="shared" si="13"/>
        <v>1.3605442176870748E-2</v>
      </c>
      <c r="P48" s="15" t="str">
        <v>journal</v>
      </c>
    </row>
    <row r="49" spans="1:16" ht="14.4" x14ac:dyDescent="0.3">
      <c r="A49" s="46"/>
      <c r="B49" s="15">
        <v>1</v>
      </c>
      <c r="C49" s="17" t="s">
        <v>301</v>
      </c>
      <c r="D49" s="15">
        <f t="shared" si="7"/>
        <v>1</v>
      </c>
      <c r="E49" s="15">
        <f t="shared" si="8"/>
        <v>124</v>
      </c>
      <c r="F49" s="15">
        <f t="shared" si="9"/>
        <v>8.658008658008658E-3</v>
      </c>
      <c r="G49" s="15">
        <f t="shared" si="10"/>
        <v>107</v>
      </c>
      <c r="H49" s="15">
        <f t="shared" si="11"/>
        <v>0</v>
      </c>
      <c r="I49" s="15">
        <f t="shared" si="12"/>
        <v>40</v>
      </c>
      <c r="J49" s="36">
        <f t="shared" si="13"/>
        <v>6.8027210884353739E-3</v>
      </c>
      <c r="P49" s="15" t="str">
        <v>grandparent</v>
      </c>
    </row>
    <row r="50" spans="1:16" ht="14.4" x14ac:dyDescent="0.3">
      <c r="A50" s="46"/>
      <c r="B50" s="15">
        <v>1</v>
      </c>
      <c r="C50" s="17" t="s">
        <v>91</v>
      </c>
      <c r="D50" s="15">
        <f t="shared" si="7"/>
        <v>4</v>
      </c>
      <c r="E50" s="15">
        <f t="shared" si="8"/>
        <v>124</v>
      </c>
      <c r="F50" s="15">
        <f t="shared" si="9"/>
        <v>2.1645021645021644E-2</v>
      </c>
      <c r="G50" s="15">
        <f t="shared" si="10"/>
        <v>107</v>
      </c>
      <c r="H50" s="15">
        <f t="shared" si="11"/>
        <v>0</v>
      </c>
      <c r="I50" s="15">
        <f t="shared" si="12"/>
        <v>40</v>
      </c>
      <c r="J50" s="36">
        <f t="shared" si="13"/>
        <v>6.8027210884353739E-3</v>
      </c>
      <c r="P50" s="15" t="str">
        <v>watch</v>
      </c>
    </row>
    <row r="51" spans="1:16" ht="14.4" x14ac:dyDescent="0.3">
      <c r="A51" s="46"/>
      <c r="B51" s="15">
        <v>1</v>
      </c>
      <c r="C51" s="17" t="s">
        <v>92</v>
      </c>
      <c r="D51" s="15">
        <f t="shared" si="7"/>
        <v>1</v>
      </c>
      <c r="E51" s="15">
        <f t="shared" si="8"/>
        <v>124</v>
      </c>
      <c r="F51" s="15">
        <f t="shared" si="9"/>
        <v>8.658008658008658E-3</v>
      </c>
      <c r="G51" s="15">
        <f t="shared" si="10"/>
        <v>107</v>
      </c>
      <c r="H51" s="15">
        <f t="shared" si="11"/>
        <v>0</v>
      </c>
      <c r="I51" s="15">
        <f t="shared" si="12"/>
        <v>40</v>
      </c>
      <c r="J51" s="36">
        <f t="shared" si="13"/>
        <v>6.8027210884353739E-3</v>
      </c>
      <c r="P51" s="15" t="str">
        <v>highly</v>
      </c>
    </row>
    <row r="52" spans="1:16" ht="14.4" x14ac:dyDescent="0.3">
      <c r="A52" s="46"/>
      <c r="B52" s="15">
        <v>1</v>
      </c>
      <c r="C52" s="17" t="s">
        <v>93</v>
      </c>
      <c r="D52" s="15">
        <f t="shared" si="7"/>
        <v>3</v>
      </c>
      <c r="E52" s="15">
        <f t="shared" si="8"/>
        <v>124</v>
      </c>
      <c r="F52" s="15">
        <f t="shared" si="9"/>
        <v>1.7316017316017316E-2</v>
      </c>
      <c r="G52" s="15">
        <f t="shared" si="10"/>
        <v>107</v>
      </c>
      <c r="H52" s="15">
        <f t="shared" si="11"/>
        <v>0</v>
      </c>
      <c r="I52" s="15">
        <f t="shared" si="12"/>
        <v>40</v>
      </c>
      <c r="J52" s="36">
        <f t="shared" si="13"/>
        <v>6.8027210884353739E-3</v>
      </c>
      <c r="P52" s="15" t="str">
        <v>parent</v>
      </c>
    </row>
    <row r="53" spans="1:16" ht="14.4" x14ac:dyDescent="0.3">
      <c r="A53" s="46"/>
      <c r="B53" s="15">
        <v>1</v>
      </c>
      <c r="C53" s="17" t="s">
        <v>30</v>
      </c>
      <c r="D53" s="15">
        <f t="shared" si="7"/>
        <v>5</v>
      </c>
      <c r="E53" s="15">
        <f t="shared" si="8"/>
        <v>124</v>
      </c>
      <c r="F53" s="15">
        <f t="shared" si="9"/>
        <v>2.5974025974025976E-2</v>
      </c>
      <c r="G53" s="15">
        <f t="shared" si="10"/>
        <v>107</v>
      </c>
      <c r="H53" s="15">
        <f t="shared" si="11"/>
        <v>1</v>
      </c>
      <c r="I53" s="15">
        <f t="shared" si="12"/>
        <v>40</v>
      </c>
      <c r="J53" s="36">
        <f t="shared" si="13"/>
        <v>1.3605442176870748E-2</v>
      </c>
      <c r="P53" s="15" t="str">
        <v>children</v>
      </c>
    </row>
    <row r="54" spans="1:16" ht="14.4" x14ac:dyDescent="0.3">
      <c r="A54" s="46"/>
      <c r="B54" s="15">
        <v>1</v>
      </c>
      <c r="C54" s="17" t="s">
        <v>31</v>
      </c>
      <c r="D54" s="15">
        <f t="shared" si="7"/>
        <v>5</v>
      </c>
      <c r="E54" s="15">
        <f t="shared" si="8"/>
        <v>124</v>
      </c>
      <c r="F54" s="15">
        <f t="shared" si="9"/>
        <v>2.5974025974025976E-2</v>
      </c>
      <c r="G54" s="15">
        <f t="shared" si="10"/>
        <v>107</v>
      </c>
      <c r="H54" s="15">
        <f t="shared" si="11"/>
        <v>0</v>
      </c>
      <c r="I54" s="15">
        <f t="shared" si="12"/>
        <v>40</v>
      </c>
      <c r="J54" s="36">
        <f t="shared" si="13"/>
        <v>6.8027210884353739E-3</v>
      </c>
      <c r="O54" s="24"/>
      <c r="P54" s="15" t="str">
        <v>especially</v>
      </c>
    </row>
    <row r="55" spans="1:16" ht="14.4" x14ac:dyDescent="0.3">
      <c r="A55" s="46"/>
      <c r="B55" s="15">
        <v>1</v>
      </c>
      <c r="C55" s="18" t="s">
        <v>331</v>
      </c>
      <c r="D55" s="15">
        <f t="shared" si="7"/>
        <v>2</v>
      </c>
      <c r="E55" s="15">
        <f t="shared" si="8"/>
        <v>124</v>
      </c>
      <c r="F55" s="15">
        <f t="shared" si="9"/>
        <v>1.2987012987012988E-2</v>
      </c>
      <c r="G55" s="15">
        <f t="shared" si="10"/>
        <v>107</v>
      </c>
      <c r="H55" s="15">
        <f t="shared" si="11"/>
        <v>0</v>
      </c>
      <c r="I55" s="15">
        <f t="shared" si="12"/>
        <v>40</v>
      </c>
      <c r="J55" s="36">
        <f t="shared" si="13"/>
        <v>6.8027210884353739E-3</v>
      </c>
      <c r="P55" s="15" t="str">
        <v>little</v>
      </c>
    </row>
    <row r="56" spans="1:16" ht="14.4" x14ac:dyDescent="0.3">
      <c r="A56" s="46"/>
      <c r="B56" s="15">
        <v>1</v>
      </c>
      <c r="C56" s="17" t="s">
        <v>97</v>
      </c>
      <c r="D56" s="15">
        <f t="shared" si="7"/>
        <v>2</v>
      </c>
      <c r="E56" s="15">
        <f t="shared" si="8"/>
        <v>124</v>
      </c>
      <c r="F56" s="15">
        <f t="shared" si="9"/>
        <v>1.2987012987012988E-2</v>
      </c>
      <c r="G56" s="15">
        <f t="shared" si="10"/>
        <v>107</v>
      </c>
      <c r="H56" s="15">
        <f t="shared" si="11"/>
        <v>1</v>
      </c>
      <c r="I56" s="15">
        <f t="shared" si="12"/>
        <v>40</v>
      </c>
      <c r="J56" s="36">
        <f t="shared" si="13"/>
        <v>1.3605442176870748E-2</v>
      </c>
      <c r="P56" s="15" t="str">
        <v>under</v>
      </c>
    </row>
    <row r="57" spans="1:16" ht="14.4" x14ac:dyDescent="0.3">
      <c r="A57" s="46"/>
      <c r="B57" s="15">
        <v>1</v>
      </c>
      <c r="C57" s="17" t="s">
        <v>34</v>
      </c>
      <c r="D57" s="15">
        <f t="shared" si="7"/>
        <v>3</v>
      </c>
      <c r="E57" s="15">
        <f t="shared" si="8"/>
        <v>124</v>
      </c>
      <c r="F57" s="15">
        <f t="shared" si="9"/>
        <v>1.7316017316017316E-2</v>
      </c>
      <c r="G57" s="15">
        <f t="shared" si="10"/>
        <v>107</v>
      </c>
      <c r="H57" s="15">
        <f t="shared" si="11"/>
        <v>0</v>
      </c>
      <c r="I57" s="15">
        <f t="shared" si="12"/>
        <v>40</v>
      </c>
      <c r="J57" s="36">
        <f t="shared" si="13"/>
        <v>6.8027210884353739E-3</v>
      </c>
      <c r="O57" s="24"/>
      <c r="P57" s="15" t="str">
        <v>year</v>
      </c>
    </row>
    <row r="58" spans="1:16" ht="14.4" x14ac:dyDescent="0.3">
      <c r="A58" s="46"/>
      <c r="B58" s="15">
        <v>1</v>
      </c>
      <c r="C58" s="18" t="s">
        <v>217</v>
      </c>
      <c r="D58" s="15">
        <f t="shared" si="7"/>
        <v>2</v>
      </c>
      <c r="E58" s="15">
        <f t="shared" si="8"/>
        <v>124</v>
      </c>
      <c r="F58" s="15">
        <f t="shared" si="9"/>
        <v>1.2987012987012988E-2</v>
      </c>
      <c r="G58" s="15">
        <f t="shared" si="10"/>
        <v>107</v>
      </c>
      <c r="H58" s="15">
        <f t="shared" si="11"/>
        <v>0</v>
      </c>
      <c r="I58" s="15">
        <f t="shared" si="12"/>
        <v>40</v>
      </c>
      <c r="J58" s="36">
        <f t="shared" si="13"/>
        <v>6.8027210884353739E-3</v>
      </c>
      <c r="P58" s="15" t="str">
        <v>age</v>
      </c>
    </row>
    <row r="59" spans="1:16" ht="14.4" x14ac:dyDescent="0.3">
      <c r="A59" s="46"/>
      <c r="B59" s="15">
        <v>1</v>
      </c>
      <c r="C59" s="17" t="s">
        <v>28</v>
      </c>
      <c r="D59" s="15">
        <f t="shared" si="7"/>
        <v>2</v>
      </c>
      <c r="E59" s="15">
        <f t="shared" si="8"/>
        <v>124</v>
      </c>
      <c r="F59" s="15">
        <f t="shared" si="9"/>
        <v>1.2987012987012988E-2</v>
      </c>
      <c r="G59" s="15">
        <f t="shared" si="10"/>
        <v>107</v>
      </c>
      <c r="H59" s="15">
        <f t="shared" si="11"/>
        <v>0</v>
      </c>
      <c r="I59" s="15">
        <f t="shared" si="12"/>
        <v>40</v>
      </c>
      <c r="J59" s="36">
        <f t="shared" si="13"/>
        <v>6.8027210884353739E-3</v>
      </c>
      <c r="P59" s="15" t="str">
        <v>friend</v>
      </c>
    </row>
    <row r="60" spans="1:16" ht="14.4" x14ac:dyDescent="0.3">
      <c r="A60" s="46"/>
      <c r="B60" s="15">
        <v>1</v>
      </c>
      <c r="C60" s="17" t="s">
        <v>101</v>
      </c>
      <c r="D60" s="15">
        <f t="shared" si="7"/>
        <v>1</v>
      </c>
      <c r="E60" s="15">
        <f t="shared" si="8"/>
        <v>124</v>
      </c>
      <c r="F60" s="15">
        <f t="shared" si="9"/>
        <v>8.658008658008658E-3</v>
      </c>
      <c r="G60" s="15">
        <f t="shared" si="10"/>
        <v>107</v>
      </c>
      <c r="H60" s="15">
        <f t="shared" si="11"/>
        <v>0</v>
      </c>
      <c r="I60" s="15">
        <f t="shared" si="12"/>
        <v>40</v>
      </c>
      <c r="J60" s="36">
        <f t="shared" si="13"/>
        <v>6.8027210884353739E-3</v>
      </c>
      <c r="P60" s="15" t="str">
        <v>teether</v>
      </c>
    </row>
    <row r="61" spans="1:16" ht="14.4" x14ac:dyDescent="0.3">
      <c r="A61" s="46"/>
      <c r="B61" s="15">
        <v>1</v>
      </c>
      <c r="C61" s="17" t="s">
        <v>102</v>
      </c>
      <c r="D61" s="15">
        <f t="shared" si="7"/>
        <v>1</v>
      </c>
      <c r="E61" s="15">
        <f t="shared" si="8"/>
        <v>124</v>
      </c>
      <c r="F61" s="15">
        <f t="shared" si="9"/>
        <v>8.658008658008658E-3</v>
      </c>
      <c r="G61" s="15">
        <f t="shared" si="10"/>
        <v>107</v>
      </c>
      <c r="H61" s="15">
        <f t="shared" si="11"/>
        <v>0</v>
      </c>
      <c r="I61" s="15">
        <f t="shared" si="12"/>
        <v>40</v>
      </c>
      <c r="J61" s="36">
        <f t="shared" si="13"/>
        <v>6.8027210884353739E-3</v>
      </c>
      <c r="P61" s="15" t="str">
        <v>daughter</v>
      </c>
    </row>
    <row r="62" spans="1:16" ht="14.4" x14ac:dyDescent="0.3">
      <c r="A62" s="46"/>
      <c r="B62" s="15">
        <v>1</v>
      </c>
      <c r="C62" s="17" t="s">
        <v>52</v>
      </c>
      <c r="D62" s="15">
        <f t="shared" si="7"/>
        <v>3</v>
      </c>
      <c r="E62" s="15">
        <f t="shared" si="8"/>
        <v>124</v>
      </c>
      <c r="F62" s="15">
        <f t="shared" si="9"/>
        <v>1.7316017316017316E-2</v>
      </c>
      <c r="G62" s="15">
        <f t="shared" si="10"/>
        <v>107</v>
      </c>
      <c r="H62" s="15">
        <f t="shared" si="11"/>
        <v>0</v>
      </c>
      <c r="I62" s="15">
        <f t="shared" si="12"/>
        <v>40</v>
      </c>
      <c r="J62" s="36">
        <f t="shared" si="13"/>
        <v>6.8027210884353739E-3</v>
      </c>
      <c r="P62" s="15" t="str">
        <v>love</v>
      </c>
    </row>
    <row r="63" spans="1:16" ht="14.4" x14ac:dyDescent="0.3">
      <c r="A63" s="46"/>
      <c r="B63" s="15">
        <v>1</v>
      </c>
      <c r="C63" s="17" t="s">
        <v>105</v>
      </c>
      <c r="D63" s="15">
        <f t="shared" si="7"/>
        <v>2</v>
      </c>
      <c r="E63" s="15">
        <f t="shared" si="8"/>
        <v>124</v>
      </c>
      <c r="F63" s="15">
        <f t="shared" si="9"/>
        <v>1.2987012987012988E-2</v>
      </c>
      <c r="G63" s="15">
        <f t="shared" si="10"/>
        <v>107</v>
      </c>
      <c r="H63" s="15">
        <f t="shared" si="11"/>
        <v>0</v>
      </c>
      <c r="I63" s="15">
        <f t="shared" si="12"/>
        <v>40</v>
      </c>
      <c r="J63" s="36">
        <f t="shared" si="13"/>
        <v>6.8027210884353739E-3</v>
      </c>
      <c r="P63" s="15" t="str">
        <v>however</v>
      </c>
    </row>
    <row r="64" spans="1:16" ht="14.4" x14ac:dyDescent="0.3">
      <c r="A64" s="46"/>
      <c r="B64" s="15">
        <v>1</v>
      </c>
      <c r="C64" s="17" t="s">
        <v>91</v>
      </c>
      <c r="D64" s="15">
        <f t="shared" si="7"/>
        <v>4</v>
      </c>
      <c r="E64" s="15">
        <f t="shared" si="8"/>
        <v>124</v>
      </c>
      <c r="F64" s="15">
        <f t="shared" si="9"/>
        <v>2.1645021645021644E-2</v>
      </c>
      <c r="G64" s="15">
        <f t="shared" si="10"/>
        <v>107</v>
      </c>
      <c r="H64" s="15">
        <f t="shared" si="11"/>
        <v>0</v>
      </c>
      <c r="I64" s="15">
        <f t="shared" si="12"/>
        <v>40</v>
      </c>
      <c r="J64" s="36">
        <f t="shared" si="13"/>
        <v>6.8027210884353739E-3</v>
      </c>
      <c r="O64" s="24"/>
      <c r="P64" s="15" t="str">
        <v>floor</v>
      </c>
    </row>
    <row r="65" spans="1:16" ht="14.4" x14ac:dyDescent="0.3">
      <c r="A65" s="46"/>
      <c r="B65" s="15">
        <v>1</v>
      </c>
      <c r="C65" s="18" t="s">
        <v>347</v>
      </c>
      <c r="D65" s="15">
        <f t="shared" si="7"/>
        <v>1</v>
      </c>
      <c r="E65" s="15">
        <f t="shared" si="8"/>
        <v>124</v>
      </c>
      <c r="F65" s="15">
        <f t="shared" si="9"/>
        <v>8.658008658008658E-3</v>
      </c>
      <c r="G65" s="15">
        <f t="shared" si="10"/>
        <v>107</v>
      </c>
      <c r="H65" s="15">
        <f t="shared" si="11"/>
        <v>0</v>
      </c>
      <c r="I65" s="15">
        <f t="shared" si="12"/>
        <v>40</v>
      </c>
      <c r="J65" s="36">
        <f t="shared" si="13"/>
        <v>6.8027210884353739E-3</v>
      </c>
      <c r="P65" s="15" t="str">
        <v>hopefully</v>
      </c>
    </row>
    <row r="66" spans="1:16" ht="14.4" x14ac:dyDescent="0.3">
      <c r="A66" s="46"/>
      <c r="B66" s="15">
        <v>1</v>
      </c>
      <c r="C66" s="17" t="s">
        <v>108</v>
      </c>
      <c r="D66" s="15">
        <f t="shared" ref="D66:D97" si="14">COUNTIFS($C$2:$C$165,C66,$B$2:$B$165,1)</f>
        <v>1</v>
      </c>
      <c r="E66" s="15">
        <f t="shared" ref="E66:E97" si="15">COUNTIF($B$2:$B$165,1)</f>
        <v>124</v>
      </c>
      <c r="F66" s="15">
        <f t="shared" ref="F66:F97" si="16">(D66+$B$2)/($E$2+$G$2)</f>
        <v>8.658008658008658E-3</v>
      </c>
      <c r="G66" s="15">
        <f t="shared" ref="G66:G97" si="17">COUNTIF($P$2:$P$108,"&lt;&gt;")</f>
        <v>107</v>
      </c>
      <c r="H66" s="15">
        <f t="shared" ref="H66:H97" si="18">COUNTIFS($C$2:$C$165,C66,$B$2:$B$165,0)</f>
        <v>0</v>
      </c>
      <c r="I66" s="15">
        <f t="shared" ref="I66:I97" si="19">COUNTIF($B$2:$B$165,0)</f>
        <v>40</v>
      </c>
      <c r="J66" s="36">
        <f t="shared" ref="J66:J97" si="20">(H66+$B$2)/($I$2+$G$2)</f>
        <v>6.8027210884353739E-3</v>
      </c>
      <c r="P66" s="15" t="str">
        <v>work</v>
      </c>
    </row>
    <row r="67" spans="1:16" ht="14.4" x14ac:dyDescent="0.3">
      <c r="A67" s="46"/>
      <c r="B67" s="15">
        <v>1</v>
      </c>
      <c r="C67" s="17" t="s">
        <v>324</v>
      </c>
      <c r="D67" s="15">
        <f t="shared" si="14"/>
        <v>1</v>
      </c>
      <c r="E67" s="15">
        <f t="shared" si="15"/>
        <v>124</v>
      </c>
      <c r="F67" s="15">
        <f t="shared" si="16"/>
        <v>8.658008658008658E-3</v>
      </c>
      <c r="G67" s="15">
        <f t="shared" si="17"/>
        <v>107</v>
      </c>
      <c r="H67" s="15">
        <f t="shared" si="18"/>
        <v>0</v>
      </c>
      <c r="I67" s="15">
        <f t="shared" si="19"/>
        <v>40</v>
      </c>
      <c r="J67" s="36">
        <f t="shared" si="20"/>
        <v>6.8027210884353739E-3</v>
      </c>
      <c r="O67" s="24"/>
      <c r="P67" s="15" t="str">
        <v>good</v>
      </c>
    </row>
    <row r="68" spans="1:16" ht="14.4" x14ac:dyDescent="0.3">
      <c r="A68" s="46"/>
      <c r="B68" s="15">
        <v>1</v>
      </c>
      <c r="C68" s="17" t="s">
        <v>39</v>
      </c>
      <c r="D68" s="15">
        <f t="shared" si="14"/>
        <v>2</v>
      </c>
      <c r="E68" s="15">
        <f t="shared" si="15"/>
        <v>124</v>
      </c>
      <c r="F68" s="15">
        <f t="shared" si="16"/>
        <v>1.2987012987012988E-2</v>
      </c>
      <c r="G68" s="15">
        <f t="shared" si="17"/>
        <v>107</v>
      </c>
      <c r="H68" s="15">
        <f t="shared" si="18"/>
        <v>1</v>
      </c>
      <c r="I68" s="15">
        <f t="shared" si="19"/>
        <v>40</v>
      </c>
      <c r="J68" s="36">
        <f t="shared" si="20"/>
        <v>1.3605442176870748E-2</v>
      </c>
      <c r="P68" s="15" t="str">
        <v>do</v>
      </c>
    </row>
    <row r="69" spans="1:16" ht="14.4" x14ac:dyDescent="0.3">
      <c r="A69" s="46"/>
      <c r="B69" s="15">
        <v>1</v>
      </c>
      <c r="C69" s="17" t="s">
        <v>105</v>
      </c>
      <c r="D69" s="15">
        <f t="shared" si="14"/>
        <v>2</v>
      </c>
      <c r="E69" s="15">
        <f t="shared" si="15"/>
        <v>124</v>
      </c>
      <c r="F69" s="15">
        <f t="shared" si="16"/>
        <v>1.2987012987012988E-2</v>
      </c>
      <c r="G69" s="15">
        <f t="shared" si="17"/>
        <v>107</v>
      </c>
      <c r="H69" s="15">
        <f t="shared" si="18"/>
        <v>0</v>
      </c>
      <c r="I69" s="15">
        <f t="shared" si="19"/>
        <v>40</v>
      </c>
      <c r="J69" s="36">
        <f t="shared" si="20"/>
        <v>6.8027210884353739E-3</v>
      </c>
      <c r="P69" s="15" t="str">
        <v>not</v>
      </c>
    </row>
    <row r="70" spans="1:16" ht="14.4" x14ac:dyDescent="0.3">
      <c r="A70" s="46"/>
      <c r="B70" s="15">
        <v>1</v>
      </c>
      <c r="C70" s="18" t="s">
        <v>348</v>
      </c>
      <c r="D70" s="15">
        <f t="shared" si="14"/>
        <v>1</v>
      </c>
      <c r="E70" s="15">
        <f t="shared" si="15"/>
        <v>124</v>
      </c>
      <c r="F70" s="15">
        <f t="shared" si="16"/>
        <v>8.658008658008658E-3</v>
      </c>
      <c r="G70" s="15">
        <f t="shared" si="17"/>
        <v>107</v>
      </c>
      <c r="H70" s="15">
        <f t="shared" si="18"/>
        <v>0</v>
      </c>
      <c r="I70" s="15">
        <f t="shared" si="19"/>
        <v>40</v>
      </c>
      <c r="J70" s="36">
        <f t="shared" si="20"/>
        <v>6.8027210884353739E-3</v>
      </c>
      <c r="P70" s="15" t="str">
        <v>waste</v>
      </c>
    </row>
    <row r="71" spans="1:16" ht="14.4" x14ac:dyDescent="0.3">
      <c r="A71" s="46"/>
      <c r="B71" s="15">
        <v>1</v>
      </c>
      <c r="C71" s="17" t="s">
        <v>115</v>
      </c>
      <c r="D71" s="15">
        <f t="shared" si="14"/>
        <v>1</v>
      </c>
      <c r="E71" s="15">
        <f t="shared" si="15"/>
        <v>124</v>
      </c>
      <c r="F71" s="15">
        <f t="shared" si="16"/>
        <v>8.658008658008658E-3</v>
      </c>
      <c r="G71" s="15">
        <f t="shared" si="17"/>
        <v>107</v>
      </c>
      <c r="H71" s="15">
        <f t="shared" si="18"/>
        <v>0</v>
      </c>
      <c r="I71" s="15">
        <f t="shared" si="19"/>
        <v>40</v>
      </c>
      <c r="J71" s="36">
        <f t="shared" si="20"/>
        <v>6.8027210884353739E-3</v>
      </c>
      <c r="O71" s="24"/>
      <c r="P71" s="15" t="str">
        <v>money</v>
      </c>
    </row>
    <row r="72" spans="1:16" ht="14.4" x14ac:dyDescent="0.3">
      <c r="A72" s="46"/>
      <c r="B72" s="15">
        <v>1</v>
      </c>
      <c r="C72" s="17" t="s">
        <v>116</v>
      </c>
      <c r="D72" s="15">
        <f t="shared" si="14"/>
        <v>1</v>
      </c>
      <c r="E72" s="15">
        <f t="shared" si="15"/>
        <v>124</v>
      </c>
      <c r="F72" s="15">
        <f t="shared" si="16"/>
        <v>8.658008658008658E-3</v>
      </c>
      <c r="G72" s="15">
        <f t="shared" si="17"/>
        <v>107</v>
      </c>
      <c r="H72" s="15">
        <f t="shared" si="18"/>
        <v>0</v>
      </c>
      <c r="I72" s="15">
        <f t="shared" si="19"/>
        <v>40</v>
      </c>
      <c r="J72" s="36">
        <f t="shared" si="20"/>
        <v>6.8027210884353739E-3</v>
      </c>
      <c r="P72" s="15" t="str">
        <v>rather</v>
      </c>
    </row>
    <row r="73" spans="1:16" ht="14.4" x14ac:dyDescent="0.3">
      <c r="A73" s="47"/>
      <c r="B73" s="15">
        <v>1</v>
      </c>
      <c r="C73" s="17" t="s">
        <v>118</v>
      </c>
      <c r="D73" s="15">
        <f t="shared" si="14"/>
        <v>1</v>
      </c>
      <c r="E73" s="15">
        <f t="shared" si="15"/>
        <v>124</v>
      </c>
      <c r="F73" s="15">
        <f t="shared" si="16"/>
        <v>8.658008658008658E-3</v>
      </c>
      <c r="G73" s="15">
        <f t="shared" si="17"/>
        <v>107</v>
      </c>
      <c r="H73" s="15">
        <f t="shared" si="18"/>
        <v>0</v>
      </c>
      <c r="I73" s="15">
        <f t="shared" si="19"/>
        <v>40</v>
      </c>
      <c r="J73" s="36">
        <f t="shared" si="20"/>
        <v>6.8027210884353739E-3</v>
      </c>
      <c r="P73" s="15" t="str">
        <v>suck</v>
      </c>
    </row>
    <row r="74" spans="1:16" ht="14.4" x14ac:dyDescent="0.3">
      <c r="A74" s="45"/>
      <c r="B74" s="15">
        <v>1</v>
      </c>
      <c r="C74" s="18" t="s">
        <v>78</v>
      </c>
      <c r="D74" s="15">
        <f t="shared" si="14"/>
        <v>3</v>
      </c>
      <c r="E74" s="15">
        <f t="shared" si="15"/>
        <v>124</v>
      </c>
      <c r="F74" s="15">
        <f t="shared" si="16"/>
        <v>1.7316017316017316E-2</v>
      </c>
      <c r="G74" s="15">
        <f t="shared" si="17"/>
        <v>107</v>
      </c>
      <c r="H74" s="15">
        <f t="shared" si="18"/>
        <v>0</v>
      </c>
      <c r="I74" s="15">
        <f t="shared" si="19"/>
        <v>40</v>
      </c>
      <c r="J74" s="36">
        <f t="shared" si="20"/>
        <v>6.8027210884353739E-3</v>
      </c>
      <c r="P74" s="15" t="str">
        <v>finger</v>
      </c>
    </row>
    <row r="75" spans="1:16" ht="14.4" x14ac:dyDescent="0.3">
      <c r="A75" s="46"/>
      <c r="B75" s="15">
        <v>1</v>
      </c>
      <c r="C75" s="17" t="s">
        <v>120</v>
      </c>
      <c r="D75" s="15">
        <f t="shared" si="14"/>
        <v>1</v>
      </c>
      <c r="E75" s="15">
        <f t="shared" si="15"/>
        <v>124</v>
      </c>
      <c r="F75" s="15">
        <f t="shared" si="16"/>
        <v>8.658008658008658E-3</v>
      </c>
      <c r="G75" s="15">
        <f t="shared" si="17"/>
        <v>107</v>
      </c>
      <c r="H75" s="15">
        <f t="shared" si="18"/>
        <v>0</v>
      </c>
      <c r="I75" s="15">
        <f t="shared" si="19"/>
        <v>40</v>
      </c>
      <c r="J75" s="36">
        <f t="shared" si="20"/>
        <v>6.8027210884353739E-3</v>
      </c>
      <c r="P75" s="15" t="str">
        <v>message</v>
      </c>
    </row>
    <row r="76" spans="1:16" ht="14.4" x14ac:dyDescent="0.3">
      <c r="A76" s="46"/>
      <c r="B76" s="15">
        <v>1</v>
      </c>
      <c r="C76" s="17" t="s">
        <v>121</v>
      </c>
      <c r="D76" s="15">
        <f t="shared" si="14"/>
        <v>1</v>
      </c>
      <c r="E76" s="15">
        <f t="shared" si="15"/>
        <v>124</v>
      </c>
      <c r="F76" s="15">
        <f t="shared" si="16"/>
        <v>8.658008658008658E-3</v>
      </c>
      <c r="G76" s="15">
        <f t="shared" si="17"/>
        <v>107</v>
      </c>
      <c r="H76" s="15">
        <f t="shared" si="18"/>
        <v>0</v>
      </c>
      <c r="I76" s="15">
        <f t="shared" si="19"/>
        <v>40</v>
      </c>
      <c r="J76" s="36">
        <f t="shared" si="20"/>
        <v>6.8027210884353739E-3</v>
      </c>
      <c r="P76" s="15" t="str">
        <v>corn</v>
      </c>
    </row>
    <row r="77" spans="1:16" ht="14.4" x14ac:dyDescent="0.3">
      <c r="A77" s="46"/>
      <c r="B77" s="15">
        <v>1</v>
      </c>
      <c r="C77" s="17" t="s">
        <v>303</v>
      </c>
      <c r="D77" s="15">
        <f t="shared" si="14"/>
        <v>1</v>
      </c>
      <c r="E77" s="15">
        <f t="shared" si="15"/>
        <v>124</v>
      </c>
      <c r="F77" s="15">
        <f t="shared" si="16"/>
        <v>8.658008658008658E-3</v>
      </c>
      <c r="G77" s="15">
        <f t="shared" si="17"/>
        <v>107</v>
      </c>
      <c r="H77" s="15">
        <f t="shared" si="18"/>
        <v>0</v>
      </c>
      <c r="I77" s="15">
        <f t="shared" si="19"/>
        <v>40</v>
      </c>
      <c r="J77" s="36">
        <f t="shared" si="20"/>
        <v>6.8027210884353739E-3</v>
      </c>
      <c r="P77" s="15" t="str">
        <v>massager</v>
      </c>
    </row>
    <row r="78" spans="1:16" ht="14.4" x14ac:dyDescent="0.3">
      <c r="A78" s="45" t="s">
        <v>360</v>
      </c>
      <c r="B78" s="15">
        <v>0</v>
      </c>
      <c r="C78" s="17" t="s">
        <v>131</v>
      </c>
      <c r="D78" s="15">
        <f t="shared" si="14"/>
        <v>0</v>
      </c>
      <c r="E78" s="15">
        <f t="shared" si="15"/>
        <v>124</v>
      </c>
      <c r="F78" s="15">
        <f t="shared" si="16"/>
        <v>4.329004329004329E-3</v>
      </c>
      <c r="G78" s="15">
        <f t="shared" si="17"/>
        <v>107</v>
      </c>
      <c r="H78" s="15">
        <f t="shared" si="18"/>
        <v>1</v>
      </c>
      <c r="I78" s="15">
        <f t="shared" si="19"/>
        <v>40</v>
      </c>
      <c r="J78" s="36">
        <f t="shared" si="20"/>
        <v>1.3605442176870748E-2</v>
      </c>
      <c r="P78" s="15" t="str">
        <v>really</v>
      </c>
    </row>
    <row r="79" spans="1:16" ht="14.4" x14ac:dyDescent="0.3">
      <c r="A79" s="46"/>
      <c r="B79" s="15">
        <v>0</v>
      </c>
      <c r="C79" s="18" t="s">
        <v>39</v>
      </c>
      <c r="D79" s="15">
        <f t="shared" si="14"/>
        <v>2</v>
      </c>
      <c r="E79" s="15">
        <f t="shared" si="15"/>
        <v>124</v>
      </c>
      <c r="F79" s="15">
        <f t="shared" si="16"/>
        <v>1.2987012987012988E-2</v>
      </c>
      <c r="G79" s="15">
        <f t="shared" si="17"/>
        <v>107</v>
      </c>
      <c r="H79" s="15">
        <f t="shared" si="18"/>
        <v>1</v>
      </c>
      <c r="I79" s="15">
        <f t="shared" si="19"/>
        <v>40</v>
      </c>
      <c r="J79" s="36">
        <f t="shared" si="20"/>
        <v>1.3605442176870748E-2</v>
      </c>
      <c r="O79" s="24"/>
      <c r="P79" s="15" t="str">
        <v>squeeze</v>
      </c>
    </row>
    <row r="80" spans="1:16" ht="14.4" x14ac:dyDescent="0.3">
      <c r="A80" s="46"/>
      <c r="B80" s="15">
        <v>0</v>
      </c>
      <c r="C80" s="17" t="s">
        <v>133</v>
      </c>
      <c r="D80" s="15">
        <f t="shared" si="14"/>
        <v>0</v>
      </c>
      <c r="E80" s="15">
        <f t="shared" si="15"/>
        <v>124</v>
      </c>
      <c r="F80" s="15">
        <f t="shared" si="16"/>
        <v>4.329004329004329E-3</v>
      </c>
      <c r="G80" s="15">
        <f t="shared" si="17"/>
        <v>107</v>
      </c>
      <c r="H80" s="15">
        <f t="shared" si="18"/>
        <v>2</v>
      </c>
      <c r="I80" s="15">
        <f t="shared" si="19"/>
        <v>40</v>
      </c>
      <c r="J80" s="36">
        <f t="shared" si="20"/>
        <v>2.0408163265306121E-2</v>
      </c>
      <c r="O80" s="24"/>
      <c r="P80" s="15" t="str">
        <v>order</v>
      </c>
    </row>
    <row r="81" spans="1:16" ht="14.4" x14ac:dyDescent="0.3">
      <c r="A81" s="46"/>
      <c r="B81" s="15">
        <v>0</v>
      </c>
      <c r="C81" s="17" t="s">
        <v>136</v>
      </c>
      <c r="D81" s="15">
        <f t="shared" si="14"/>
        <v>2</v>
      </c>
      <c r="E81" s="15">
        <f t="shared" si="15"/>
        <v>124</v>
      </c>
      <c r="F81" s="15">
        <f t="shared" si="16"/>
        <v>1.2987012987012988E-2</v>
      </c>
      <c r="G81" s="15">
        <f t="shared" si="17"/>
        <v>107</v>
      </c>
      <c r="H81" s="15">
        <f t="shared" si="18"/>
        <v>2</v>
      </c>
      <c r="I81" s="15">
        <f t="shared" si="19"/>
        <v>40</v>
      </c>
      <c r="J81" s="36">
        <f t="shared" si="20"/>
        <v>2.0408163265306121E-2</v>
      </c>
      <c r="O81" s="24"/>
      <c r="P81" s="15" t="str">
        <v>best</v>
      </c>
    </row>
    <row r="82" spans="1:16" ht="14.4" x14ac:dyDescent="0.3">
      <c r="A82" s="46"/>
      <c r="B82" s="15">
        <v>0</v>
      </c>
      <c r="C82" s="17" t="s">
        <v>203</v>
      </c>
      <c r="D82" s="15">
        <f t="shared" si="14"/>
        <v>1</v>
      </c>
      <c r="E82" s="15">
        <f t="shared" si="15"/>
        <v>124</v>
      </c>
      <c r="F82" s="15">
        <f t="shared" si="16"/>
        <v>8.658008658008658E-3</v>
      </c>
      <c r="G82" s="15">
        <f t="shared" si="17"/>
        <v>107</v>
      </c>
      <c r="H82" s="15">
        <f t="shared" si="18"/>
        <v>2</v>
      </c>
      <c r="I82" s="15">
        <f t="shared" si="19"/>
        <v>40</v>
      </c>
      <c r="J82" s="36">
        <f t="shared" si="20"/>
        <v>2.0408163265306121E-2</v>
      </c>
      <c r="O82" s="24"/>
      <c r="P82" s="15" t="str">
        <v>baby</v>
      </c>
    </row>
    <row r="83" spans="1:16" ht="14.4" x14ac:dyDescent="0.3">
      <c r="A83" s="46"/>
      <c r="B83" s="15">
        <v>0</v>
      </c>
      <c r="C83" s="17" t="s">
        <v>322</v>
      </c>
      <c r="D83" s="15">
        <f t="shared" si="14"/>
        <v>0</v>
      </c>
      <c r="E83" s="15">
        <f t="shared" si="15"/>
        <v>124</v>
      </c>
      <c r="F83" s="15">
        <f t="shared" si="16"/>
        <v>4.329004329004329E-3</v>
      </c>
      <c r="G83" s="15">
        <f t="shared" si="17"/>
        <v>107</v>
      </c>
      <c r="H83" s="15">
        <f t="shared" si="18"/>
        <v>1</v>
      </c>
      <c r="I83" s="15">
        <f t="shared" si="19"/>
        <v>40</v>
      </c>
      <c r="J83" s="36">
        <f t="shared" si="20"/>
        <v>1.3605442176870748E-2</v>
      </c>
      <c r="P83" s="15" t="str">
        <v>poop</v>
      </c>
    </row>
    <row r="84" spans="1:16" ht="14.4" x14ac:dyDescent="0.3">
      <c r="A84" s="46"/>
      <c r="B84" s="15">
        <v>0</v>
      </c>
      <c r="C84" s="17" t="s">
        <v>136</v>
      </c>
      <c r="D84" s="15">
        <f t="shared" si="14"/>
        <v>2</v>
      </c>
      <c r="E84" s="15">
        <f t="shared" si="15"/>
        <v>124</v>
      </c>
      <c r="F84" s="15">
        <f t="shared" si="16"/>
        <v>1.2987012987012988E-2</v>
      </c>
      <c r="G84" s="15">
        <f t="shared" si="17"/>
        <v>107</v>
      </c>
      <c r="H84" s="15">
        <f t="shared" si="18"/>
        <v>2</v>
      </c>
      <c r="I84" s="15">
        <f t="shared" si="19"/>
        <v>40</v>
      </c>
      <c r="J84" s="36">
        <f t="shared" si="20"/>
        <v>2.0408163265306121E-2</v>
      </c>
      <c r="P84" s="15" t="str">
        <v>bath</v>
      </c>
    </row>
    <row r="85" spans="1:16" ht="14.4" x14ac:dyDescent="0.3">
      <c r="A85" s="47"/>
      <c r="B85" s="15">
        <v>0</v>
      </c>
      <c r="C85" s="18" t="s">
        <v>203</v>
      </c>
      <c r="D85" s="15">
        <f t="shared" si="14"/>
        <v>1</v>
      </c>
      <c r="E85" s="15">
        <f t="shared" si="15"/>
        <v>124</v>
      </c>
      <c r="F85" s="15">
        <f t="shared" si="16"/>
        <v>8.658008658008658E-3</v>
      </c>
      <c r="G85" s="15">
        <f t="shared" si="17"/>
        <v>107</v>
      </c>
      <c r="H85" s="15">
        <f t="shared" si="18"/>
        <v>2</v>
      </c>
      <c r="I85" s="15">
        <f t="shared" si="19"/>
        <v>40</v>
      </c>
      <c r="J85" s="36">
        <f t="shared" si="20"/>
        <v>2.0408163265306121E-2</v>
      </c>
      <c r="P85" s="15" t="str">
        <v>side</v>
      </c>
    </row>
    <row r="86" spans="1:16" x14ac:dyDescent="0.3">
      <c r="A86" s="48"/>
      <c r="B86" s="15">
        <v>0</v>
      </c>
      <c r="C86" s="18" t="s">
        <v>48</v>
      </c>
      <c r="D86" s="15">
        <f t="shared" si="14"/>
        <v>1</v>
      </c>
      <c r="E86" s="15">
        <f t="shared" si="15"/>
        <v>124</v>
      </c>
      <c r="F86" s="15">
        <f t="shared" si="16"/>
        <v>8.658008658008658E-3</v>
      </c>
      <c r="G86" s="15">
        <f t="shared" si="17"/>
        <v>107</v>
      </c>
      <c r="H86" s="15">
        <f t="shared" si="18"/>
        <v>1</v>
      </c>
      <c r="I86" s="15">
        <f t="shared" si="19"/>
        <v>40</v>
      </c>
      <c r="J86" s="36">
        <f t="shared" si="20"/>
        <v>1.3605442176870748E-2</v>
      </c>
      <c r="P86" s="15" t="str">
        <v>nurse</v>
      </c>
    </row>
    <row r="87" spans="1:16" ht="14.4" x14ac:dyDescent="0.3">
      <c r="A87" s="46"/>
      <c r="B87" s="15">
        <v>0</v>
      </c>
      <c r="C87" s="17" t="s">
        <v>304</v>
      </c>
      <c r="D87" s="15">
        <f t="shared" si="14"/>
        <v>0</v>
      </c>
      <c r="E87" s="15">
        <f t="shared" si="15"/>
        <v>124</v>
      </c>
      <c r="F87" s="15">
        <f t="shared" si="16"/>
        <v>4.329004329004329E-3</v>
      </c>
      <c r="G87" s="15">
        <f t="shared" si="17"/>
        <v>107</v>
      </c>
      <c r="H87" s="15">
        <f t="shared" si="18"/>
        <v>1</v>
      </c>
      <c r="I87" s="15">
        <f t="shared" si="19"/>
        <v>40</v>
      </c>
      <c r="J87" s="36">
        <f t="shared" si="20"/>
        <v>1.3605442176870748E-2</v>
      </c>
      <c r="P87" s="15" t="str">
        <v>take</v>
      </c>
    </row>
    <row r="88" spans="1:16" ht="14.4" x14ac:dyDescent="0.3">
      <c r="A88" s="46"/>
      <c r="B88" s="15">
        <v>0</v>
      </c>
      <c r="C88" s="17" t="s">
        <v>325</v>
      </c>
      <c r="D88" s="15">
        <f t="shared" si="14"/>
        <v>0</v>
      </c>
      <c r="E88" s="15">
        <f t="shared" si="15"/>
        <v>124</v>
      </c>
      <c r="F88" s="15">
        <f t="shared" si="16"/>
        <v>4.329004329004329E-3</v>
      </c>
      <c r="G88" s="15">
        <f t="shared" si="17"/>
        <v>107</v>
      </c>
      <c r="H88" s="15">
        <f t="shared" si="18"/>
        <v>1</v>
      </c>
      <c r="I88" s="15">
        <f t="shared" si="19"/>
        <v>40</v>
      </c>
      <c r="J88" s="36">
        <f t="shared" si="20"/>
        <v>1.3605442176870748E-2</v>
      </c>
      <c r="K88"/>
      <c r="L88"/>
      <c r="P88" s="15" t="str">
        <v>appointment</v>
      </c>
    </row>
    <row r="89" spans="1:16" ht="14.4" x14ac:dyDescent="0.3">
      <c r="A89" s="46"/>
      <c r="B89" s="15">
        <v>0</v>
      </c>
      <c r="C89" s="17" t="s">
        <v>144</v>
      </c>
      <c r="D89" s="15">
        <f t="shared" si="14"/>
        <v>0</v>
      </c>
      <c r="E89" s="15">
        <f t="shared" si="15"/>
        <v>124</v>
      </c>
      <c r="F89" s="15">
        <f t="shared" si="16"/>
        <v>4.329004329004329E-3</v>
      </c>
      <c r="G89" s="15">
        <f t="shared" si="17"/>
        <v>107</v>
      </c>
      <c r="H89" s="15">
        <f t="shared" si="18"/>
        <v>2</v>
      </c>
      <c r="I89" s="15">
        <f t="shared" si="19"/>
        <v>40</v>
      </c>
      <c r="J89" s="36">
        <f t="shared" si="20"/>
        <v>2.0408163265306121E-2</v>
      </c>
      <c r="K89"/>
      <c r="L89"/>
      <c r="P89" s="15" t="str">
        <v>gift</v>
      </c>
    </row>
    <row r="90" spans="1:16" ht="14.4" x14ac:dyDescent="0.3">
      <c r="A90" s="46"/>
      <c r="B90" s="15">
        <v>0</v>
      </c>
      <c r="C90" s="18" t="s">
        <v>386</v>
      </c>
      <c r="D90" s="15">
        <f t="shared" si="14"/>
        <v>0</v>
      </c>
      <c r="E90" s="15">
        <f t="shared" si="15"/>
        <v>124</v>
      </c>
      <c r="F90" s="15">
        <f t="shared" si="16"/>
        <v>4.329004329004329E-3</v>
      </c>
      <c r="G90" s="15">
        <f t="shared" si="17"/>
        <v>107</v>
      </c>
      <c r="H90" s="15">
        <f t="shared" si="18"/>
        <v>1</v>
      </c>
      <c r="I90" s="15">
        <f t="shared" si="19"/>
        <v>40</v>
      </c>
      <c r="J90" s="36">
        <f t="shared" si="20"/>
        <v>1.3605442176870748E-2</v>
      </c>
      <c r="K90"/>
      <c r="L90"/>
      <c r="O90" s="24"/>
      <c r="P90" s="15" t="str">
        <v>inside</v>
      </c>
    </row>
    <row r="91" spans="1:16" ht="14.4" x14ac:dyDescent="0.3">
      <c r="A91" s="45" t="s">
        <v>124</v>
      </c>
      <c r="B91" s="15">
        <v>0</v>
      </c>
      <c r="C91" s="17" t="s">
        <v>387</v>
      </c>
      <c r="D91" s="15">
        <f t="shared" si="14"/>
        <v>0</v>
      </c>
      <c r="E91" s="15">
        <f t="shared" si="15"/>
        <v>124</v>
      </c>
      <c r="F91" s="15">
        <f t="shared" si="16"/>
        <v>4.329004329004329E-3</v>
      </c>
      <c r="G91" s="15">
        <f t="shared" si="17"/>
        <v>107</v>
      </c>
      <c r="H91" s="15">
        <f t="shared" si="18"/>
        <v>1</v>
      </c>
      <c r="I91" s="15">
        <f t="shared" si="19"/>
        <v>40</v>
      </c>
      <c r="J91" s="36">
        <f t="shared" si="20"/>
        <v>1.3605442176870748E-2</v>
      </c>
      <c r="K91"/>
      <c r="L91"/>
      <c r="O91" s="24"/>
      <c r="P91" s="15" t="str">
        <v>nice</v>
      </c>
    </row>
    <row r="92" spans="1:16" ht="14.4" x14ac:dyDescent="0.3">
      <c r="A92" s="46"/>
      <c r="B92" s="15">
        <v>0</v>
      </c>
      <c r="C92" s="50" t="s">
        <v>185</v>
      </c>
      <c r="D92" s="15">
        <f t="shared" si="14"/>
        <v>0</v>
      </c>
      <c r="E92" s="15">
        <f t="shared" si="15"/>
        <v>124</v>
      </c>
      <c r="F92" s="15">
        <f t="shared" si="16"/>
        <v>4.329004329004329E-3</v>
      </c>
      <c r="G92" s="15">
        <f t="shared" si="17"/>
        <v>107</v>
      </c>
      <c r="H92" s="15">
        <f t="shared" si="18"/>
        <v>3</v>
      </c>
      <c r="I92" s="15">
        <f t="shared" si="19"/>
        <v>40</v>
      </c>
      <c r="J92" s="36">
        <f t="shared" si="20"/>
        <v>2.7210884353741496E-2</v>
      </c>
      <c r="K92"/>
      <c r="L92"/>
      <c r="P92" s="15" t="str">
        <v>clean</v>
      </c>
    </row>
    <row r="93" spans="1:16" ht="14.4" x14ac:dyDescent="0.3">
      <c r="A93" s="46"/>
      <c r="B93" s="15">
        <v>0</v>
      </c>
      <c r="C93" s="17" t="s">
        <v>148</v>
      </c>
      <c r="D93" s="15">
        <f t="shared" si="14"/>
        <v>0</v>
      </c>
      <c r="E93" s="15">
        <f t="shared" si="15"/>
        <v>124</v>
      </c>
      <c r="F93" s="15">
        <f t="shared" si="16"/>
        <v>4.329004329004329E-3</v>
      </c>
      <c r="G93" s="15">
        <f t="shared" si="17"/>
        <v>107</v>
      </c>
      <c r="H93" s="15">
        <f t="shared" si="18"/>
        <v>1</v>
      </c>
      <c r="I93" s="15">
        <f t="shared" si="19"/>
        <v>40</v>
      </c>
      <c r="J93" s="36">
        <f t="shared" si="20"/>
        <v>1.3605442176870748E-2</v>
      </c>
      <c r="K93"/>
      <c r="L93"/>
      <c r="P93" s="15">
        <v>0</v>
      </c>
    </row>
    <row r="94" spans="1:16" ht="14.4" x14ac:dyDescent="0.3">
      <c r="A94" s="46"/>
      <c r="B94" s="15">
        <v>0</v>
      </c>
      <c r="C94" s="17" t="s">
        <v>285</v>
      </c>
      <c r="D94" s="15">
        <f t="shared" si="14"/>
        <v>0</v>
      </c>
      <c r="E94" s="15">
        <f t="shared" si="15"/>
        <v>124</v>
      </c>
      <c r="F94" s="15">
        <f t="shared" si="16"/>
        <v>4.329004329004329E-3</v>
      </c>
      <c r="G94" s="15">
        <f t="shared" si="17"/>
        <v>107</v>
      </c>
      <c r="H94" s="15">
        <f t="shared" si="18"/>
        <v>1</v>
      </c>
      <c r="I94" s="15">
        <f t="shared" si="19"/>
        <v>40</v>
      </c>
      <c r="J94" s="36">
        <f t="shared" si="20"/>
        <v>1.3605442176870748E-2</v>
      </c>
      <c r="K94"/>
      <c r="L94"/>
      <c r="P94" s="15" t="str">
        <v>advertise</v>
      </c>
    </row>
    <row r="95" spans="1:16" ht="14.4" x14ac:dyDescent="0.3">
      <c r="A95" s="46"/>
      <c r="B95" s="15">
        <v>0</v>
      </c>
      <c r="C95" s="17" t="s">
        <v>87</v>
      </c>
      <c r="D95" s="15">
        <f t="shared" si="14"/>
        <v>2</v>
      </c>
      <c r="E95" s="15">
        <f t="shared" si="15"/>
        <v>124</v>
      </c>
      <c r="F95" s="15">
        <f t="shared" si="16"/>
        <v>1.2987012987012988E-2</v>
      </c>
      <c r="G95" s="15">
        <f t="shared" si="17"/>
        <v>107</v>
      </c>
      <c r="H95" s="15">
        <f t="shared" si="18"/>
        <v>1</v>
      </c>
      <c r="I95" s="15">
        <f t="shared" si="19"/>
        <v>40</v>
      </c>
      <c r="J95" s="36">
        <f t="shared" si="20"/>
        <v>1.3605442176870748E-2</v>
      </c>
      <c r="K95"/>
      <c r="L95"/>
      <c r="P95" s="15" t="str">
        <v>sane</v>
      </c>
    </row>
    <row r="96" spans="1:16" ht="14.4" x14ac:dyDescent="0.3">
      <c r="A96" s="46"/>
      <c r="B96" s="15">
        <v>0</v>
      </c>
      <c r="C96" s="17" t="s">
        <v>151</v>
      </c>
      <c r="D96" s="15">
        <f t="shared" si="14"/>
        <v>0</v>
      </c>
      <c r="E96" s="15">
        <f t="shared" si="15"/>
        <v>124</v>
      </c>
      <c r="F96" s="15">
        <f t="shared" si="16"/>
        <v>4.329004329004329E-3</v>
      </c>
      <c r="G96" s="15">
        <f t="shared" si="17"/>
        <v>107</v>
      </c>
      <c r="H96" s="15">
        <f t="shared" si="18"/>
        <v>1</v>
      </c>
      <c r="I96" s="15">
        <f t="shared" si="19"/>
        <v>40</v>
      </c>
      <c r="J96" s="36">
        <f t="shared" si="20"/>
        <v>1.3605442176870748E-2</v>
      </c>
      <c r="K96"/>
      <c r="L96"/>
      <c r="O96" s="24"/>
      <c r="P96" s="15" t="str">
        <v>buy</v>
      </c>
    </row>
    <row r="97" spans="1:16" ht="14.4" x14ac:dyDescent="0.3">
      <c r="A97" s="46"/>
      <c r="B97" s="15">
        <v>0</v>
      </c>
      <c r="C97" s="17" t="s">
        <v>152</v>
      </c>
      <c r="D97" s="15">
        <f t="shared" si="14"/>
        <v>0</v>
      </c>
      <c r="E97" s="15">
        <f t="shared" si="15"/>
        <v>124</v>
      </c>
      <c r="F97" s="15">
        <f t="shared" si="16"/>
        <v>4.329004329004329E-3</v>
      </c>
      <c r="G97" s="15">
        <f t="shared" si="17"/>
        <v>107</v>
      </c>
      <c r="H97" s="15">
        <f t="shared" si="18"/>
        <v>1</v>
      </c>
      <c r="I97" s="15">
        <f t="shared" si="19"/>
        <v>40</v>
      </c>
      <c r="J97" s="36">
        <f t="shared" si="20"/>
        <v>1.3605442176870748E-2</v>
      </c>
      <c r="K97"/>
      <c r="L97"/>
      <c r="P97" s="15" t="str">
        <v>truck</v>
      </c>
    </row>
    <row r="98" spans="1:16" ht="14.4" x14ac:dyDescent="0.3">
      <c r="A98" s="46"/>
      <c r="B98" s="15">
        <v>0</v>
      </c>
      <c r="C98" s="18" t="s">
        <v>333</v>
      </c>
      <c r="D98" s="15">
        <f t="shared" ref="D98:D129" si="21">COUNTIFS($C$2:$C$165,C98,$B$2:$B$165,1)</f>
        <v>0</v>
      </c>
      <c r="E98" s="15">
        <f t="shared" ref="E98:E129" si="22">COUNTIF($B$2:$B$165,1)</f>
        <v>124</v>
      </c>
      <c r="F98" s="15">
        <f t="shared" ref="F98:F129" si="23">(D98+$B$2)/($E$2+$G$2)</f>
        <v>4.329004329004329E-3</v>
      </c>
      <c r="G98" s="15">
        <f t="shared" ref="G98:G129" si="24">COUNTIF($P$2:$P$108,"&lt;&gt;")</f>
        <v>107</v>
      </c>
      <c r="H98" s="15">
        <f t="shared" ref="H98:H129" si="25">COUNTIFS($C$2:$C$165,C98,$B$2:$B$165,0)</f>
        <v>1</v>
      </c>
      <c r="I98" s="15">
        <f t="shared" ref="I98:I129" si="26">COUNTIF($B$2:$B$165,0)</f>
        <v>40</v>
      </c>
      <c r="J98" s="36">
        <f t="shared" ref="J98:J129" si="27">(H98+$B$2)/($I$2+$G$2)</f>
        <v>1.3605442176870748E-2</v>
      </c>
      <c r="K98"/>
      <c r="L98"/>
      <c r="P98" s="15" t="str">
        <v>old</v>
      </c>
    </row>
    <row r="99" spans="1:16" ht="14.4" x14ac:dyDescent="0.3">
      <c r="A99" s="46"/>
      <c r="B99" s="15">
        <v>0</v>
      </c>
      <c r="C99" s="17" t="s">
        <v>56</v>
      </c>
      <c r="D99" s="15">
        <f t="shared" si="21"/>
        <v>2</v>
      </c>
      <c r="E99" s="15">
        <f t="shared" si="22"/>
        <v>124</v>
      </c>
      <c r="F99" s="15">
        <f t="shared" si="23"/>
        <v>1.2987012987012988E-2</v>
      </c>
      <c r="G99" s="15">
        <f t="shared" si="24"/>
        <v>107</v>
      </c>
      <c r="H99" s="15">
        <f t="shared" si="25"/>
        <v>1</v>
      </c>
      <c r="I99" s="15">
        <f t="shared" si="26"/>
        <v>40</v>
      </c>
      <c r="J99" s="36">
        <f t="shared" si="27"/>
        <v>1.3605442176870748E-2</v>
      </c>
      <c r="K99"/>
      <c r="L99"/>
      <c r="P99" s="15" t="str">
        <v>nesting</v>
      </c>
    </row>
    <row r="100" spans="1:16" ht="14.4" x14ac:dyDescent="0.3">
      <c r="A100" s="46"/>
      <c r="B100" s="15">
        <v>0</v>
      </c>
      <c r="C100" s="18" t="s">
        <v>349</v>
      </c>
      <c r="D100" s="15">
        <f t="shared" si="21"/>
        <v>0</v>
      </c>
      <c r="E100" s="15">
        <f t="shared" si="22"/>
        <v>124</v>
      </c>
      <c r="F100" s="15">
        <f t="shared" si="23"/>
        <v>4.329004329004329E-3</v>
      </c>
      <c r="G100" s="15">
        <f t="shared" si="24"/>
        <v>107</v>
      </c>
      <c r="H100" s="15">
        <f t="shared" si="25"/>
        <v>1</v>
      </c>
      <c r="I100" s="15">
        <f t="shared" si="26"/>
        <v>40</v>
      </c>
      <c r="J100" s="36">
        <f t="shared" si="27"/>
        <v>1.3605442176870748E-2</v>
      </c>
      <c r="K100"/>
      <c r="L100"/>
      <c r="P100" s="15" t="str">
        <v>fun</v>
      </c>
    </row>
    <row r="101" spans="1:16" ht="14.4" x14ac:dyDescent="0.3">
      <c r="A101" s="47"/>
      <c r="B101" s="15">
        <v>0</v>
      </c>
      <c r="C101" s="17" t="s">
        <v>156</v>
      </c>
      <c r="D101" s="15">
        <f t="shared" si="21"/>
        <v>0</v>
      </c>
      <c r="E101" s="15">
        <f t="shared" si="22"/>
        <v>124</v>
      </c>
      <c r="F101" s="15">
        <f t="shared" si="23"/>
        <v>4.329004329004329E-3</v>
      </c>
      <c r="G101" s="15">
        <f t="shared" si="24"/>
        <v>107</v>
      </c>
      <c r="H101" s="15">
        <f t="shared" si="25"/>
        <v>1</v>
      </c>
      <c r="I101" s="15">
        <f t="shared" si="26"/>
        <v>40</v>
      </c>
      <c r="J101" s="36">
        <f t="shared" si="27"/>
        <v>1.3605442176870748E-2</v>
      </c>
      <c r="K101"/>
      <c r="L101"/>
      <c r="P101" s="15" t="str">
        <v>look</v>
      </c>
    </row>
    <row r="102" spans="1:16" ht="14.4" x14ac:dyDescent="0.3">
      <c r="A102" s="45"/>
      <c r="B102" s="15">
        <v>0</v>
      </c>
      <c r="C102" s="17" t="s">
        <v>133</v>
      </c>
      <c r="D102" s="15">
        <f t="shared" si="21"/>
        <v>0</v>
      </c>
      <c r="E102" s="15">
        <f t="shared" si="22"/>
        <v>124</v>
      </c>
      <c r="F102" s="15">
        <f t="shared" si="23"/>
        <v>4.329004329004329E-3</v>
      </c>
      <c r="G102" s="15">
        <f t="shared" si="24"/>
        <v>107</v>
      </c>
      <c r="H102" s="15">
        <f t="shared" si="25"/>
        <v>2</v>
      </c>
      <c r="I102" s="15">
        <f t="shared" si="26"/>
        <v>40</v>
      </c>
      <c r="J102" s="36">
        <f t="shared" si="27"/>
        <v>2.0408163265306121E-2</v>
      </c>
      <c r="K102"/>
      <c r="L102"/>
      <c r="P102" s="15" t="str">
        <v>underneath</v>
      </c>
    </row>
    <row r="103" spans="1:16" ht="14.4" x14ac:dyDescent="0.3">
      <c r="A103" s="46"/>
      <c r="B103" s="15">
        <v>0</v>
      </c>
      <c r="C103" s="17" t="s">
        <v>159</v>
      </c>
      <c r="D103" s="15">
        <f t="shared" si="21"/>
        <v>0</v>
      </c>
      <c r="E103" s="15">
        <f t="shared" si="22"/>
        <v>124</v>
      </c>
      <c r="F103" s="15">
        <f t="shared" si="23"/>
        <v>4.329004329004329E-3</v>
      </c>
      <c r="G103" s="15">
        <f t="shared" si="24"/>
        <v>107</v>
      </c>
      <c r="H103" s="15">
        <f t="shared" si="25"/>
        <v>1</v>
      </c>
      <c r="I103" s="15">
        <f t="shared" si="26"/>
        <v>40</v>
      </c>
      <c r="J103" s="36">
        <f t="shared" si="27"/>
        <v>1.3605442176870748E-2</v>
      </c>
      <c r="K103"/>
      <c r="L103"/>
      <c r="P103" s="15" t="str">
        <v>next</v>
      </c>
    </row>
    <row r="104" spans="1:16" ht="14.4" x14ac:dyDescent="0.3">
      <c r="A104" s="46"/>
      <c r="B104" s="15">
        <v>0</v>
      </c>
      <c r="C104" s="17" t="s">
        <v>160</v>
      </c>
      <c r="D104" s="15">
        <f t="shared" si="21"/>
        <v>0</v>
      </c>
      <c r="E104" s="15">
        <f t="shared" si="22"/>
        <v>124</v>
      </c>
      <c r="F104" s="15">
        <f t="shared" si="23"/>
        <v>4.329004329004329E-3</v>
      </c>
      <c r="G104" s="15">
        <f t="shared" si="24"/>
        <v>107</v>
      </c>
      <c r="H104" s="15">
        <f t="shared" si="25"/>
        <v>1</v>
      </c>
      <c r="I104" s="15">
        <f t="shared" si="26"/>
        <v>40</v>
      </c>
      <c r="J104" s="36">
        <f t="shared" si="27"/>
        <v>1.3605442176870748E-2</v>
      </c>
      <c r="K104"/>
      <c r="L104"/>
      <c r="P104" s="15" t="str">
        <v>stack</v>
      </c>
    </row>
    <row r="105" spans="1:16" ht="14.4" x14ac:dyDescent="0.3">
      <c r="A105" s="46"/>
      <c r="B105" s="15">
        <v>0</v>
      </c>
      <c r="C105" s="18" t="s">
        <v>335</v>
      </c>
      <c r="D105" s="15">
        <f t="shared" si="21"/>
        <v>0</v>
      </c>
      <c r="E105" s="15">
        <f t="shared" si="22"/>
        <v>124</v>
      </c>
      <c r="F105" s="15">
        <f t="shared" si="23"/>
        <v>4.329004329004329E-3</v>
      </c>
      <c r="G105" s="15">
        <f t="shared" si="24"/>
        <v>107</v>
      </c>
      <c r="H105" s="15">
        <f t="shared" si="25"/>
        <v>1</v>
      </c>
      <c r="I105" s="15">
        <f t="shared" si="26"/>
        <v>40</v>
      </c>
      <c r="J105" s="36">
        <f t="shared" si="27"/>
        <v>1.3605442176870748E-2</v>
      </c>
      <c r="K105"/>
      <c r="L105"/>
      <c r="P105" s="15" t="str">
        <v>top</v>
      </c>
    </row>
    <row r="106" spans="1:16" ht="14.4" x14ac:dyDescent="0.3">
      <c r="A106" s="46"/>
      <c r="B106" s="15">
        <v>0</v>
      </c>
      <c r="C106" s="17" t="s">
        <v>164</v>
      </c>
      <c r="D106" s="15">
        <f t="shared" si="21"/>
        <v>0</v>
      </c>
      <c r="E106" s="15">
        <f t="shared" si="22"/>
        <v>124</v>
      </c>
      <c r="F106" s="15">
        <f t="shared" si="23"/>
        <v>4.329004329004329E-3</v>
      </c>
      <c r="G106" s="15">
        <f t="shared" si="24"/>
        <v>107</v>
      </c>
      <c r="H106" s="15">
        <f t="shared" si="25"/>
        <v>1</v>
      </c>
      <c r="I106" s="15">
        <f t="shared" si="26"/>
        <v>40</v>
      </c>
      <c r="J106" s="36">
        <f t="shared" si="27"/>
        <v>1.3605442176870748E-2</v>
      </c>
      <c r="K106"/>
      <c r="P106" s="15" t="str">
        <v>tower</v>
      </c>
    </row>
    <row r="107" spans="1:16" ht="14.4" x14ac:dyDescent="0.3">
      <c r="A107" s="46"/>
      <c r="B107" s="15">
        <v>0</v>
      </c>
      <c r="C107" s="17" t="s">
        <v>144</v>
      </c>
      <c r="D107" s="15">
        <f t="shared" si="21"/>
        <v>0</v>
      </c>
      <c r="E107" s="15">
        <f t="shared" si="22"/>
        <v>124</v>
      </c>
      <c r="F107" s="15">
        <f t="shared" si="23"/>
        <v>4.329004329004329E-3</v>
      </c>
      <c r="G107" s="15">
        <f t="shared" si="24"/>
        <v>107</v>
      </c>
      <c r="H107" s="15">
        <f t="shared" si="25"/>
        <v>2</v>
      </c>
      <c r="I107" s="15">
        <f t="shared" si="26"/>
        <v>40</v>
      </c>
      <c r="J107" s="36">
        <f t="shared" si="27"/>
        <v>2.0408163265306121E-2</v>
      </c>
      <c r="K107"/>
      <c r="P107" s="15" t="str">
        <v>big</v>
      </c>
    </row>
    <row r="108" spans="1:16" ht="14.4" x14ac:dyDescent="0.3">
      <c r="A108" s="45" t="s">
        <v>125</v>
      </c>
      <c r="B108" s="15">
        <v>1</v>
      </c>
      <c r="C108" s="17" t="s">
        <v>166</v>
      </c>
      <c r="D108" s="15">
        <f t="shared" si="21"/>
        <v>1</v>
      </c>
      <c r="E108" s="15">
        <f t="shared" si="22"/>
        <v>124</v>
      </c>
      <c r="F108" s="15">
        <f t="shared" si="23"/>
        <v>8.658008658008658E-3</v>
      </c>
      <c r="G108" s="15">
        <f t="shared" si="24"/>
        <v>107</v>
      </c>
      <c r="H108" s="15">
        <f t="shared" si="25"/>
        <v>0</v>
      </c>
      <c r="I108" s="15">
        <f t="shared" si="26"/>
        <v>40</v>
      </c>
      <c r="J108" s="36">
        <f t="shared" si="27"/>
        <v>6.8027210884353739E-3</v>
      </c>
      <c r="K108"/>
      <c r="P108" s="15" t="str">
        <v>size</v>
      </c>
    </row>
    <row r="109" spans="1:16" ht="14.4" x14ac:dyDescent="0.3">
      <c r="A109" s="46"/>
      <c r="B109" s="15">
        <v>1</v>
      </c>
      <c r="C109" s="17" t="s">
        <v>93</v>
      </c>
      <c r="D109" s="15">
        <f t="shared" si="21"/>
        <v>3</v>
      </c>
      <c r="E109" s="15">
        <f t="shared" si="22"/>
        <v>124</v>
      </c>
      <c r="F109" s="15">
        <f t="shared" si="23"/>
        <v>1.7316017316017316E-2</v>
      </c>
      <c r="G109" s="15">
        <f t="shared" si="24"/>
        <v>107</v>
      </c>
      <c r="H109" s="15">
        <f t="shared" si="25"/>
        <v>0</v>
      </c>
      <c r="I109" s="15">
        <f t="shared" si="26"/>
        <v>40</v>
      </c>
      <c r="J109" s="36">
        <f t="shared" si="27"/>
        <v>6.8027210884353739E-3</v>
      </c>
      <c r="K109"/>
    </row>
    <row r="110" spans="1:16" ht="14.4" x14ac:dyDescent="0.3">
      <c r="A110" s="46"/>
      <c r="B110" s="15">
        <v>1</v>
      </c>
      <c r="C110" s="17" t="s">
        <v>30</v>
      </c>
      <c r="D110" s="15">
        <f t="shared" si="21"/>
        <v>5</v>
      </c>
      <c r="E110" s="15">
        <f t="shared" si="22"/>
        <v>124</v>
      </c>
      <c r="F110" s="15">
        <f t="shared" si="23"/>
        <v>2.5974025974025976E-2</v>
      </c>
      <c r="G110" s="15">
        <f t="shared" si="24"/>
        <v>107</v>
      </c>
      <c r="H110" s="15">
        <f t="shared" si="25"/>
        <v>1</v>
      </c>
      <c r="I110" s="15">
        <f t="shared" si="26"/>
        <v>40</v>
      </c>
      <c r="J110" s="36">
        <f t="shared" si="27"/>
        <v>1.3605442176870748E-2</v>
      </c>
      <c r="K110"/>
      <c r="O110" s="24"/>
    </row>
    <row r="111" spans="1:16" ht="14.4" x14ac:dyDescent="0.3">
      <c r="A111" s="46"/>
      <c r="B111" s="15">
        <v>1</v>
      </c>
      <c r="C111" s="17" t="s">
        <v>31</v>
      </c>
      <c r="D111" s="15">
        <f t="shared" si="21"/>
        <v>5</v>
      </c>
      <c r="E111" s="15">
        <f t="shared" si="22"/>
        <v>124</v>
      </c>
      <c r="F111" s="15">
        <f t="shared" si="23"/>
        <v>2.5974025974025976E-2</v>
      </c>
      <c r="G111" s="15">
        <f t="shared" si="24"/>
        <v>107</v>
      </c>
      <c r="H111" s="15">
        <f t="shared" si="25"/>
        <v>0</v>
      </c>
      <c r="I111" s="15">
        <f t="shared" si="26"/>
        <v>40</v>
      </c>
      <c r="J111" s="36">
        <f t="shared" si="27"/>
        <v>6.8027210884353739E-3</v>
      </c>
      <c r="K111"/>
    </row>
    <row r="112" spans="1:16" ht="14.4" x14ac:dyDescent="0.3">
      <c r="A112" s="46"/>
      <c r="B112" s="15">
        <v>1</v>
      </c>
      <c r="C112" s="17" t="s">
        <v>167</v>
      </c>
      <c r="D112" s="15">
        <f t="shared" si="21"/>
        <v>2</v>
      </c>
      <c r="E112" s="15">
        <f t="shared" si="22"/>
        <v>124</v>
      </c>
      <c r="F112" s="15">
        <f t="shared" si="23"/>
        <v>1.2987012987012988E-2</v>
      </c>
      <c r="G112" s="15">
        <f t="shared" si="24"/>
        <v>107</v>
      </c>
      <c r="H112" s="15">
        <f t="shared" si="25"/>
        <v>0</v>
      </c>
      <c r="I112" s="15">
        <f t="shared" si="26"/>
        <v>40</v>
      </c>
      <c r="J112" s="36">
        <f t="shared" si="27"/>
        <v>6.8027210884353739E-3</v>
      </c>
      <c r="K112"/>
    </row>
    <row r="113" spans="1:15" ht="14.4" x14ac:dyDescent="0.3">
      <c r="A113" s="46"/>
      <c r="B113" s="15">
        <v>1</v>
      </c>
      <c r="C113" s="18" t="s">
        <v>331</v>
      </c>
      <c r="D113" s="15">
        <f t="shared" si="21"/>
        <v>2</v>
      </c>
      <c r="E113" s="15">
        <f t="shared" si="22"/>
        <v>124</v>
      </c>
      <c r="F113" s="15">
        <f t="shared" si="23"/>
        <v>1.2987012987012988E-2</v>
      </c>
      <c r="G113" s="15">
        <f t="shared" si="24"/>
        <v>107</v>
      </c>
      <c r="H113" s="15">
        <f t="shared" si="25"/>
        <v>0</v>
      </c>
      <c r="I113" s="15">
        <f t="shared" si="26"/>
        <v>40</v>
      </c>
      <c r="J113" s="36">
        <f t="shared" si="27"/>
        <v>6.8027210884353739E-3</v>
      </c>
      <c r="K113"/>
    </row>
    <row r="114" spans="1:15" ht="14.4" x14ac:dyDescent="0.3">
      <c r="A114" s="46"/>
      <c r="B114" s="15">
        <v>1</v>
      </c>
      <c r="C114" s="18" t="s">
        <v>297</v>
      </c>
      <c r="D114" s="15">
        <f t="shared" si="21"/>
        <v>2</v>
      </c>
      <c r="E114" s="15">
        <f t="shared" si="22"/>
        <v>124</v>
      </c>
      <c r="F114" s="15">
        <f t="shared" si="23"/>
        <v>1.2987012987012988E-2</v>
      </c>
      <c r="G114" s="15">
        <f t="shared" si="24"/>
        <v>107</v>
      </c>
      <c r="H114" s="15">
        <f t="shared" si="25"/>
        <v>0</v>
      </c>
      <c r="I114" s="15">
        <f t="shared" si="26"/>
        <v>40</v>
      </c>
      <c r="J114" s="36">
        <f t="shared" si="27"/>
        <v>6.8027210884353739E-3</v>
      </c>
      <c r="K114"/>
    </row>
    <row r="115" spans="1:15" ht="14.4" x14ac:dyDescent="0.3">
      <c r="A115" s="46"/>
      <c r="B115" s="15">
        <v>1</v>
      </c>
      <c r="C115" s="18" t="s">
        <v>332</v>
      </c>
      <c r="D115" s="15">
        <f t="shared" si="21"/>
        <v>1</v>
      </c>
      <c r="E115" s="15">
        <f t="shared" si="22"/>
        <v>124</v>
      </c>
      <c r="F115" s="15">
        <f t="shared" si="23"/>
        <v>8.658008658008658E-3</v>
      </c>
      <c r="G115" s="15">
        <f t="shared" si="24"/>
        <v>107</v>
      </c>
      <c r="H115" s="15">
        <f t="shared" si="25"/>
        <v>0</v>
      </c>
      <c r="I115" s="15">
        <f t="shared" si="26"/>
        <v>40</v>
      </c>
      <c r="J115" s="36">
        <f t="shared" si="27"/>
        <v>6.8027210884353739E-3</v>
      </c>
      <c r="K115"/>
    </row>
    <row r="116" spans="1:15" ht="14.4" x14ac:dyDescent="0.3">
      <c r="A116" s="46"/>
      <c r="B116" s="15">
        <v>1</v>
      </c>
      <c r="C116" s="18" t="s">
        <v>76</v>
      </c>
      <c r="D116" s="15">
        <f t="shared" si="21"/>
        <v>2</v>
      </c>
      <c r="E116" s="15">
        <f t="shared" si="22"/>
        <v>124</v>
      </c>
      <c r="F116" s="15">
        <f t="shared" si="23"/>
        <v>1.2987012987012988E-2</v>
      </c>
      <c r="G116" s="15">
        <f t="shared" si="24"/>
        <v>107</v>
      </c>
      <c r="H116" s="15">
        <f t="shared" si="25"/>
        <v>0</v>
      </c>
      <c r="I116" s="15">
        <f t="shared" si="26"/>
        <v>40</v>
      </c>
      <c r="J116" s="36">
        <f t="shared" si="27"/>
        <v>6.8027210884353739E-3</v>
      </c>
      <c r="K116"/>
    </row>
    <row r="117" spans="1:15" ht="14.4" x14ac:dyDescent="0.3">
      <c r="A117" s="46"/>
      <c r="B117" s="15">
        <v>1</v>
      </c>
      <c r="C117" s="17" t="s">
        <v>288</v>
      </c>
      <c r="D117" s="15">
        <f t="shared" si="21"/>
        <v>1</v>
      </c>
      <c r="E117" s="15">
        <f t="shared" si="22"/>
        <v>124</v>
      </c>
      <c r="F117" s="15">
        <f t="shared" si="23"/>
        <v>8.658008658008658E-3</v>
      </c>
      <c r="G117" s="15">
        <f t="shared" si="24"/>
        <v>107</v>
      </c>
      <c r="H117" s="15">
        <f t="shared" si="25"/>
        <v>0</v>
      </c>
      <c r="I117" s="15">
        <f t="shared" si="26"/>
        <v>40</v>
      </c>
      <c r="J117" s="36">
        <f t="shared" si="27"/>
        <v>6.8027210884353739E-3</v>
      </c>
      <c r="K117"/>
    </row>
    <row r="118" spans="1:15" ht="14.4" x14ac:dyDescent="0.3">
      <c r="A118" s="46"/>
      <c r="B118" s="15">
        <v>1</v>
      </c>
      <c r="C118" s="17" t="s">
        <v>91</v>
      </c>
      <c r="D118" s="15">
        <f t="shared" si="21"/>
        <v>4</v>
      </c>
      <c r="E118" s="15">
        <f t="shared" si="22"/>
        <v>124</v>
      </c>
      <c r="F118" s="15">
        <f t="shared" si="23"/>
        <v>2.1645021645021644E-2</v>
      </c>
      <c r="G118" s="15">
        <f t="shared" si="24"/>
        <v>107</v>
      </c>
      <c r="H118" s="15">
        <f t="shared" si="25"/>
        <v>0</v>
      </c>
      <c r="I118" s="15">
        <f t="shared" si="26"/>
        <v>40</v>
      </c>
      <c r="J118" s="36">
        <f t="shared" si="27"/>
        <v>6.8027210884353739E-3</v>
      </c>
      <c r="K118"/>
    </row>
    <row r="119" spans="1:15" ht="14.4" x14ac:dyDescent="0.3">
      <c r="A119" s="46"/>
      <c r="B119" s="15">
        <v>1</v>
      </c>
      <c r="C119" s="17" t="s">
        <v>93</v>
      </c>
      <c r="D119" s="15">
        <f t="shared" si="21"/>
        <v>3</v>
      </c>
      <c r="E119" s="15">
        <f t="shared" si="22"/>
        <v>124</v>
      </c>
      <c r="F119" s="15">
        <f t="shared" si="23"/>
        <v>1.7316017316017316E-2</v>
      </c>
      <c r="G119" s="15">
        <f t="shared" si="24"/>
        <v>107</v>
      </c>
      <c r="H119" s="15">
        <f t="shared" si="25"/>
        <v>0</v>
      </c>
      <c r="I119" s="15">
        <f t="shared" si="26"/>
        <v>40</v>
      </c>
      <c r="J119" s="36">
        <f t="shared" si="27"/>
        <v>6.8027210884353739E-3</v>
      </c>
      <c r="K119"/>
    </row>
    <row r="120" spans="1:15" ht="14.4" x14ac:dyDescent="0.3">
      <c r="A120" s="46"/>
      <c r="B120" s="15">
        <v>1</v>
      </c>
      <c r="C120" s="17" t="s">
        <v>30</v>
      </c>
      <c r="D120" s="15">
        <f t="shared" si="21"/>
        <v>5</v>
      </c>
      <c r="E120" s="15">
        <f t="shared" si="22"/>
        <v>124</v>
      </c>
      <c r="F120" s="15">
        <f t="shared" si="23"/>
        <v>2.5974025974025976E-2</v>
      </c>
      <c r="G120" s="15">
        <f t="shared" si="24"/>
        <v>107</v>
      </c>
      <c r="H120" s="15">
        <f t="shared" si="25"/>
        <v>1</v>
      </c>
      <c r="I120" s="15">
        <f t="shared" si="26"/>
        <v>40</v>
      </c>
      <c r="J120" s="36">
        <f t="shared" si="27"/>
        <v>1.3605442176870748E-2</v>
      </c>
      <c r="K120"/>
      <c r="O120" s="24"/>
    </row>
    <row r="121" spans="1:15" ht="14.4" x14ac:dyDescent="0.3">
      <c r="A121" s="46"/>
      <c r="B121" s="15">
        <v>1</v>
      </c>
      <c r="C121" s="17" t="s">
        <v>31</v>
      </c>
      <c r="D121" s="15">
        <f t="shared" si="21"/>
        <v>5</v>
      </c>
      <c r="E121" s="15">
        <f t="shared" si="22"/>
        <v>124</v>
      </c>
      <c r="F121" s="15">
        <f t="shared" si="23"/>
        <v>2.5974025974025976E-2</v>
      </c>
      <c r="G121" s="15">
        <f t="shared" si="24"/>
        <v>107</v>
      </c>
      <c r="H121" s="15">
        <f t="shared" si="25"/>
        <v>0</v>
      </c>
      <c r="I121" s="15">
        <f t="shared" si="26"/>
        <v>40</v>
      </c>
      <c r="J121" s="36">
        <f t="shared" si="27"/>
        <v>6.8027210884353739E-3</v>
      </c>
      <c r="K121"/>
    </row>
    <row r="122" spans="1:15" ht="14.4" x14ac:dyDescent="0.3">
      <c r="A122" s="47"/>
      <c r="B122" s="15">
        <v>1</v>
      </c>
      <c r="C122" s="17" t="s">
        <v>175</v>
      </c>
      <c r="D122" s="15">
        <f t="shared" si="21"/>
        <v>1</v>
      </c>
      <c r="E122" s="15">
        <f t="shared" si="22"/>
        <v>124</v>
      </c>
      <c r="F122" s="15">
        <f t="shared" si="23"/>
        <v>8.658008658008658E-3</v>
      </c>
      <c r="G122" s="15">
        <f t="shared" si="24"/>
        <v>107</v>
      </c>
      <c r="H122" s="15">
        <f t="shared" si="25"/>
        <v>0</v>
      </c>
      <c r="I122" s="15">
        <f t="shared" si="26"/>
        <v>40</v>
      </c>
      <c r="J122" s="36">
        <f t="shared" si="27"/>
        <v>6.8027210884353739E-3</v>
      </c>
      <c r="K122"/>
    </row>
    <row r="123" spans="1:15" ht="14.4" x14ac:dyDescent="0.3">
      <c r="A123" s="45"/>
      <c r="B123" s="15">
        <v>1</v>
      </c>
      <c r="C123" s="17" t="s">
        <v>167</v>
      </c>
      <c r="D123" s="15">
        <f t="shared" si="21"/>
        <v>2</v>
      </c>
      <c r="E123" s="15">
        <f t="shared" si="22"/>
        <v>124</v>
      </c>
      <c r="F123" s="15">
        <f t="shared" si="23"/>
        <v>1.2987012987012988E-2</v>
      </c>
      <c r="G123" s="15">
        <f t="shared" si="24"/>
        <v>107</v>
      </c>
      <c r="H123" s="15">
        <f t="shared" si="25"/>
        <v>0</v>
      </c>
      <c r="I123" s="15">
        <f t="shared" si="26"/>
        <v>40</v>
      </c>
      <c r="J123" s="36">
        <f t="shared" si="27"/>
        <v>6.8027210884353739E-3</v>
      </c>
      <c r="K123"/>
    </row>
    <row r="124" spans="1:15" ht="14.4" x14ac:dyDescent="0.3">
      <c r="A124" s="46"/>
      <c r="B124" s="15">
        <v>1</v>
      </c>
      <c r="C124" s="18" t="s">
        <v>336</v>
      </c>
      <c r="D124" s="15">
        <f t="shared" si="21"/>
        <v>1</v>
      </c>
      <c r="E124" s="15">
        <f t="shared" si="22"/>
        <v>124</v>
      </c>
      <c r="F124" s="15">
        <f t="shared" si="23"/>
        <v>8.658008658008658E-3</v>
      </c>
      <c r="G124" s="15">
        <f t="shared" si="24"/>
        <v>107</v>
      </c>
      <c r="H124" s="15">
        <f t="shared" si="25"/>
        <v>0</v>
      </c>
      <c r="I124" s="15">
        <f t="shared" si="26"/>
        <v>40</v>
      </c>
      <c r="J124" s="36">
        <f t="shared" si="27"/>
        <v>6.8027210884353739E-3</v>
      </c>
      <c r="K124"/>
    </row>
    <row r="125" spans="1:15" ht="14.4" x14ac:dyDescent="0.3">
      <c r="A125" s="46"/>
      <c r="B125" s="15">
        <v>1</v>
      </c>
      <c r="C125" s="18" t="s">
        <v>337</v>
      </c>
      <c r="D125" s="15">
        <f t="shared" si="21"/>
        <v>1</v>
      </c>
      <c r="E125" s="15">
        <f t="shared" si="22"/>
        <v>124</v>
      </c>
      <c r="F125" s="15">
        <f t="shared" si="23"/>
        <v>8.658008658008658E-3</v>
      </c>
      <c r="G125" s="15">
        <f t="shared" si="24"/>
        <v>107</v>
      </c>
      <c r="H125" s="15">
        <f t="shared" si="25"/>
        <v>0</v>
      </c>
      <c r="I125" s="15">
        <f t="shared" si="26"/>
        <v>40</v>
      </c>
      <c r="J125" s="36">
        <f t="shared" si="27"/>
        <v>6.8027210884353739E-3</v>
      </c>
      <c r="K125"/>
    </row>
    <row r="126" spans="1:15" ht="14.4" x14ac:dyDescent="0.3">
      <c r="A126" s="46"/>
      <c r="B126" s="15">
        <v>1</v>
      </c>
      <c r="C126" s="51" t="s">
        <v>52</v>
      </c>
      <c r="D126" s="15">
        <f t="shared" si="21"/>
        <v>3</v>
      </c>
      <c r="E126" s="15">
        <f t="shared" si="22"/>
        <v>124</v>
      </c>
      <c r="F126" s="15">
        <f t="shared" si="23"/>
        <v>1.7316017316017316E-2</v>
      </c>
      <c r="G126" s="15">
        <f t="shared" si="24"/>
        <v>107</v>
      </c>
      <c r="H126" s="15">
        <f t="shared" si="25"/>
        <v>0</v>
      </c>
      <c r="I126" s="15">
        <f t="shared" si="26"/>
        <v>40</v>
      </c>
      <c r="J126" s="36">
        <f t="shared" si="27"/>
        <v>6.8027210884353739E-3</v>
      </c>
      <c r="K126"/>
      <c r="O126" s="24"/>
    </row>
    <row r="127" spans="1:15" ht="14.4" x14ac:dyDescent="0.3">
      <c r="A127" s="46"/>
      <c r="B127" s="15">
        <v>1</v>
      </c>
      <c r="C127" s="51" t="s">
        <v>388</v>
      </c>
      <c r="D127" s="15">
        <f t="shared" si="21"/>
        <v>1</v>
      </c>
      <c r="E127" s="15">
        <f t="shared" si="22"/>
        <v>124</v>
      </c>
      <c r="F127" s="15">
        <f t="shared" si="23"/>
        <v>8.658008658008658E-3</v>
      </c>
      <c r="G127" s="15">
        <f t="shared" si="24"/>
        <v>107</v>
      </c>
      <c r="H127" s="15">
        <f t="shared" si="25"/>
        <v>0</v>
      </c>
      <c r="I127" s="15">
        <f t="shared" si="26"/>
        <v>40</v>
      </c>
      <c r="J127" s="36">
        <f t="shared" si="27"/>
        <v>6.8027210884353739E-3</v>
      </c>
      <c r="K127"/>
    </row>
    <row r="128" spans="1:15" ht="14.4" x14ac:dyDescent="0.3">
      <c r="A128" s="46"/>
      <c r="B128" s="15">
        <v>1</v>
      </c>
      <c r="C128" s="17" t="s">
        <v>91</v>
      </c>
      <c r="D128" s="15">
        <f t="shared" si="21"/>
        <v>4</v>
      </c>
      <c r="E128" s="15">
        <f t="shared" si="22"/>
        <v>124</v>
      </c>
      <c r="F128" s="15">
        <f t="shared" si="23"/>
        <v>2.1645021645021644E-2</v>
      </c>
      <c r="G128" s="15">
        <f t="shared" si="24"/>
        <v>107</v>
      </c>
      <c r="H128" s="15">
        <f t="shared" si="25"/>
        <v>0</v>
      </c>
      <c r="I128" s="15">
        <f t="shared" si="26"/>
        <v>40</v>
      </c>
      <c r="J128" s="36">
        <f t="shared" si="27"/>
        <v>6.8027210884353739E-3</v>
      </c>
      <c r="K128"/>
    </row>
    <row r="129" spans="1:15" ht="14.4" x14ac:dyDescent="0.3">
      <c r="A129" s="46"/>
      <c r="B129" s="15">
        <v>1</v>
      </c>
      <c r="C129" s="17" t="s">
        <v>294</v>
      </c>
      <c r="D129" s="15">
        <f t="shared" si="21"/>
        <v>1</v>
      </c>
      <c r="E129" s="15">
        <f t="shared" si="22"/>
        <v>124</v>
      </c>
      <c r="F129" s="15">
        <f t="shared" si="23"/>
        <v>8.658008658008658E-3</v>
      </c>
      <c r="G129" s="15">
        <f t="shared" si="24"/>
        <v>107</v>
      </c>
      <c r="H129" s="15">
        <f t="shared" si="25"/>
        <v>0</v>
      </c>
      <c r="I129" s="15">
        <f t="shared" si="26"/>
        <v>40</v>
      </c>
      <c r="J129" s="36">
        <f t="shared" si="27"/>
        <v>6.8027210884353739E-3</v>
      </c>
      <c r="K129"/>
    </row>
    <row r="130" spans="1:15" ht="14.4" x14ac:dyDescent="0.3">
      <c r="A130" s="46" t="s">
        <v>126</v>
      </c>
      <c r="B130" s="15">
        <v>0</v>
      </c>
      <c r="C130" s="17" t="s">
        <v>327</v>
      </c>
      <c r="D130" s="15">
        <f t="shared" ref="D130:D161" si="28">COUNTIFS($C$2:$C$165,C130,$B$2:$B$165,1)</f>
        <v>0</v>
      </c>
      <c r="E130" s="15">
        <f t="shared" ref="E130:E165" si="29">COUNTIF($B$2:$B$165,1)</f>
        <v>124</v>
      </c>
      <c r="F130" s="15">
        <f t="shared" ref="F130:F165" si="30">(D130+$B$2)/($E$2+$G$2)</f>
        <v>4.329004329004329E-3</v>
      </c>
      <c r="G130" s="15">
        <f t="shared" ref="G130:G165" si="31">COUNTIF($P$2:$P$108,"&lt;&gt;")</f>
        <v>107</v>
      </c>
      <c r="H130" s="15">
        <f t="shared" ref="H130:H165" si="32">COUNTIFS($C$2:$C$165,C130,$B$2:$B$165,0)</f>
        <v>1</v>
      </c>
      <c r="I130" s="15">
        <f t="shared" ref="I130:I165" si="33">COUNTIF($B$2:$B$165,0)</f>
        <v>40</v>
      </c>
      <c r="J130" s="36">
        <f t="shared" ref="J130:J165" si="34">(H130+$B$2)/($I$2+$G$2)</f>
        <v>1.3605442176870748E-2</v>
      </c>
      <c r="K130"/>
      <c r="O130" s="24"/>
    </row>
    <row r="131" spans="1:15" ht="14.4" x14ac:dyDescent="0.3">
      <c r="A131" s="47"/>
      <c r="B131" s="15">
        <v>0</v>
      </c>
      <c r="C131" s="17" t="s">
        <v>185</v>
      </c>
      <c r="D131" s="15">
        <f t="shared" si="28"/>
        <v>0</v>
      </c>
      <c r="E131" s="15">
        <f t="shared" si="29"/>
        <v>124</v>
      </c>
      <c r="F131" s="15">
        <f t="shared" si="30"/>
        <v>4.329004329004329E-3</v>
      </c>
      <c r="G131" s="15">
        <f t="shared" si="31"/>
        <v>107</v>
      </c>
      <c r="H131" s="15">
        <f t="shared" si="32"/>
        <v>3</v>
      </c>
      <c r="I131" s="15">
        <f t="shared" si="33"/>
        <v>40</v>
      </c>
      <c r="J131" s="36">
        <f t="shared" si="34"/>
        <v>2.7210884353741496E-2</v>
      </c>
      <c r="K131"/>
    </row>
    <row r="132" spans="1:15" x14ac:dyDescent="0.3">
      <c r="A132" s="40"/>
      <c r="B132" s="15">
        <v>0</v>
      </c>
      <c r="C132" s="17" t="s">
        <v>186</v>
      </c>
      <c r="D132" s="15">
        <f t="shared" si="28"/>
        <v>0</v>
      </c>
      <c r="E132" s="15">
        <f t="shared" si="29"/>
        <v>124</v>
      </c>
      <c r="F132" s="15">
        <f t="shared" si="30"/>
        <v>4.329004329004329E-3</v>
      </c>
      <c r="G132" s="15">
        <f t="shared" si="31"/>
        <v>107</v>
      </c>
      <c r="H132" s="15">
        <f t="shared" si="32"/>
        <v>1</v>
      </c>
      <c r="I132" s="15">
        <f t="shared" si="33"/>
        <v>40</v>
      </c>
      <c r="J132" s="36">
        <f t="shared" si="34"/>
        <v>1.3605442176870748E-2</v>
      </c>
      <c r="K132"/>
    </row>
    <row r="133" spans="1:15" x14ac:dyDescent="0.3">
      <c r="A133" s="48"/>
      <c r="B133" s="15">
        <v>0</v>
      </c>
      <c r="C133" s="17" t="s">
        <v>308</v>
      </c>
      <c r="D133" s="15">
        <f t="shared" si="28"/>
        <v>0</v>
      </c>
      <c r="E133" s="15">
        <f t="shared" si="29"/>
        <v>124</v>
      </c>
      <c r="F133" s="15">
        <f t="shared" si="30"/>
        <v>4.329004329004329E-3</v>
      </c>
      <c r="G133" s="15">
        <f t="shared" si="31"/>
        <v>107</v>
      </c>
      <c r="H133" s="15">
        <f t="shared" si="32"/>
        <v>1</v>
      </c>
      <c r="I133" s="15">
        <f t="shared" si="33"/>
        <v>40</v>
      </c>
      <c r="J133" s="36">
        <f t="shared" si="34"/>
        <v>1.3605442176870748E-2</v>
      </c>
      <c r="K133"/>
    </row>
    <row r="134" spans="1:15" x14ac:dyDescent="0.3">
      <c r="A134" s="48"/>
      <c r="B134" s="15">
        <v>0</v>
      </c>
      <c r="C134" s="18"/>
      <c r="D134" s="15">
        <f t="shared" si="28"/>
        <v>0</v>
      </c>
      <c r="E134" s="15">
        <f t="shared" si="29"/>
        <v>124</v>
      </c>
      <c r="F134" s="15">
        <f t="shared" si="30"/>
        <v>4.329004329004329E-3</v>
      </c>
      <c r="G134" s="15">
        <f t="shared" si="31"/>
        <v>107</v>
      </c>
      <c r="H134" s="15">
        <f t="shared" si="32"/>
        <v>0</v>
      </c>
      <c r="I134" s="15">
        <f t="shared" si="33"/>
        <v>40</v>
      </c>
      <c r="J134" s="36">
        <f t="shared" si="34"/>
        <v>6.8027210884353739E-3</v>
      </c>
      <c r="K134"/>
    </row>
    <row r="135" spans="1:15" x14ac:dyDescent="0.3">
      <c r="A135" s="48"/>
      <c r="B135" s="15">
        <v>0</v>
      </c>
      <c r="C135" s="17" t="s">
        <v>185</v>
      </c>
      <c r="D135" s="15">
        <f t="shared" si="28"/>
        <v>0</v>
      </c>
      <c r="E135" s="15">
        <f t="shared" si="29"/>
        <v>124</v>
      </c>
      <c r="F135" s="15">
        <f t="shared" si="30"/>
        <v>4.329004329004329E-3</v>
      </c>
      <c r="G135" s="15">
        <f t="shared" si="31"/>
        <v>107</v>
      </c>
      <c r="H135" s="15">
        <f t="shared" si="32"/>
        <v>3</v>
      </c>
      <c r="I135" s="15">
        <f t="shared" si="33"/>
        <v>40</v>
      </c>
      <c r="J135" s="36">
        <f t="shared" si="34"/>
        <v>2.7210884353741496E-2</v>
      </c>
      <c r="K135"/>
    </row>
    <row r="136" spans="1:15" x14ac:dyDescent="0.3">
      <c r="A136" s="48"/>
      <c r="B136" s="15">
        <v>0</v>
      </c>
      <c r="C136" s="18" t="s">
        <v>334</v>
      </c>
      <c r="D136" s="15">
        <f t="shared" si="28"/>
        <v>0</v>
      </c>
      <c r="E136" s="15">
        <f t="shared" si="29"/>
        <v>124</v>
      </c>
      <c r="F136" s="15">
        <f t="shared" si="30"/>
        <v>4.329004329004329E-3</v>
      </c>
      <c r="G136" s="15">
        <f t="shared" si="31"/>
        <v>107</v>
      </c>
      <c r="H136" s="15">
        <f t="shared" si="32"/>
        <v>1</v>
      </c>
      <c r="I136" s="15">
        <f t="shared" si="33"/>
        <v>40</v>
      </c>
      <c r="J136" s="36">
        <f t="shared" si="34"/>
        <v>1.3605442176870748E-2</v>
      </c>
      <c r="K136"/>
    </row>
    <row r="137" spans="1:15" x14ac:dyDescent="0.3">
      <c r="A137" s="48"/>
      <c r="B137" s="15">
        <v>0</v>
      </c>
      <c r="C137" s="18" t="s">
        <v>30</v>
      </c>
      <c r="D137" s="15">
        <f t="shared" si="28"/>
        <v>5</v>
      </c>
      <c r="E137" s="15">
        <f t="shared" si="29"/>
        <v>124</v>
      </c>
      <c r="F137" s="15">
        <f t="shared" si="30"/>
        <v>2.5974025974025976E-2</v>
      </c>
      <c r="G137" s="15">
        <f t="shared" si="31"/>
        <v>107</v>
      </c>
      <c r="H137" s="15">
        <f t="shared" si="32"/>
        <v>1</v>
      </c>
      <c r="I137" s="15">
        <f t="shared" si="33"/>
        <v>40</v>
      </c>
      <c r="J137" s="36">
        <f t="shared" si="34"/>
        <v>1.3605442176870748E-2</v>
      </c>
      <c r="K137"/>
    </row>
    <row r="138" spans="1:15" x14ac:dyDescent="0.3">
      <c r="A138" s="48"/>
      <c r="B138" s="15">
        <v>0</v>
      </c>
      <c r="C138" s="17" t="s">
        <v>194</v>
      </c>
      <c r="D138" s="15">
        <f t="shared" si="28"/>
        <v>0</v>
      </c>
      <c r="E138" s="15">
        <f t="shared" si="29"/>
        <v>124</v>
      </c>
      <c r="F138" s="15">
        <f t="shared" si="30"/>
        <v>4.329004329004329E-3</v>
      </c>
      <c r="G138" s="15">
        <f t="shared" si="31"/>
        <v>107</v>
      </c>
      <c r="H138" s="15">
        <f t="shared" si="32"/>
        <v>1</v>
      </c>
      <c r="I138" s="15">
        <f t="shared" si="33"/>
        <v>40</v>
      </c>
      <c r="J138" s="36">
        <f t="shared" si="34"/>
        <v>1.3605442176870748E-2</v>
      </c>
      <c r="K138"/>
    </row>
    <row r="139" spans="1:15" x14ac:dyDescent="0.3">
      <c r="A139" s="48"/>
      <c r="B139" s="15">
        <v>0</v>
      </c>
      <c r="C139" s="18" t="s">
        <v>97</v>
      </c>
      <c r="D139" s="15">
        <f t="shared" si="28"/>
        <v>2</v>
      </c>
      <c r="E139" s="15">
        <f t="shared" si="29"/>
        <v>124</v>
      </c>
      <c r="F139" s="15">
        <f t="shared" si="30"/>
        <v>1.2987012987012988E-2</v>
      </c>
      <c r="G139" s="15">
        <f t="shared" si="31"/>
        <v>107</v>
      </c>
      <c r="H139" s="15">
        <f t="shared" si="32"/>
        <v>1</v>
      </c>
      <c r="I139" s="15">
        <f t="shared" si="33"/>
        <v>40</v>
      </c>
      <c r="J139" s="36">
        <f t="shared" si="34"/>
        <v>1.3605442176870748E-2</v>
      </c>
      <c r="K139"/>
    </row>
    <row r="140" spans="1:15" x14ac:dyDescent="0.3">
      <c r="A140" s="48" t="s">
        <v>127</v>
      </c>
      <c r="B140" s="26">
        <v>1</v>
      </c>
      <c r="C140" s="17" t="s">
        <v>382</v>
      </c>
      <c r="D140" s="15">
        <f t="shared" si="28"/>
        <v>1</v>
      </c>
      <c r="E140" s="15">
        <f t="shared" si="29"/>
        <v>124</v>
      </c>
      <c r="F140" s="15">
        <f t="shared" si="30"/>
        <v>8.658008658008658E-3</v>
      </c>
      <c r="G140" s="15">
        <f t="shared" si="31"/>
        <v>107</v>
      </c>
      <c r="H140" s="15">
        <f t="shared" si="32"/>
        <v>0</v>
      </c>
      <c r="I140" s="15">
        <f t="shared" si="33"/>
        <v>40</v>
      </c>
      <c r="J140" s="36">
        <f t="shared" si="34"/>
        <v>6.8027210884353739E-3</v>
      </c>
      <c r="K140"/>
      <c r="O140" s="24"/>
    </row>
    <row r="141" spans="1:15" x14ac:dyDescent="0.3">
      <c r="A141" s="48"/>
      <c r="B141" s="26">
        <v>1</v>
      </c>
      <c r="C141" s="18" t="s">
        <v>237</v>
      </c>
      <c r="D141" s="15">
        <f t="shared" si="28"/>
        <v>3</v>
      </c>
      <c r="E141" s="15">
        <f t="shared" si="29"/>
        <v>124</v>
      </c>
      <c r="F141" s="15">
        <f t="shared" si="30"/>
        <v>1.7316017316017316E-2</v>
      </c>
      <c r="G141" s="15">
        <f t="shared" si="31"/>
        <v>107</v>
      </c>
      <c r="H141" s="15">
        <f t="shared" si="32"/>
        <v>0</v>
      </c>
      <c r="I141" s="15">
        <f t="shared" si="33"/>
        <v>40</v>
      </c>
      <c r="J141" s="36">
        <f t="shared" si="34"/>
        <v>6.8027210884353739E-3</v>
      </c>
      <c r="K141"/>
    </row>
    <row r="142" spans="1:15" x14ac:dyDescent="0.3">
      <c r="A142" s="48"/>
      <c r="B142" s="26">
        <v>1</v>
      </c>
      <c r="C142" s="17" t="s">
        <v>309</v>
      </c>
      <c r="D142" s="15">
        <f t="shared" si="28"/>
        <v>2</v>
      </c>
      <c r="E142" s="15">
        <f t="shared" si="29"/>
        <v>124</v>
      </c>
      <c r="F142" s="15">
        <f t="shared" si="30"/>
        <v>1.2987012987012988E-2</v>
      </c>
      <c r="G142" s="15">
        <f t="shared" si="31"/>
        <v>107</v>
      </c>
      <c r="H142" s="15">
        <f t="shared" si="32"/>
        <v>0</v>
      </c>
      <c r="I142" s="15">
        <f t="shared" si="33"/>
        <v>40</v>
      </c>
      <c r="J142" s="36">
        <f t="shared" si="34"/>
        <v>6.8027210884353739E-3</v>
      </c>
      <c r="K142"/>
      <c r="O142" s="24"/>
    </row>
    <row r="143" spans="1:15" x14ac:dyDescent="0.3">
      <c r="A143" s="48"/>
      <c r="B143" s="26">
        <v>1</v>
      </c>
      <c r="C143" s="17" t="s">
        <v>200</v>
      </c>
      <c r="D143" s="15">
        <f t="shared" si="28"/>
        <v>2</v>
      </c>
      <c r="E143" s="15">
        <f t="shared" si="29"/>
        <v>124</v>
      </c>
      <c r="F143" s="15">
        <f t="shared" si="30"/>
        <v>1.2987012987012988E-2</v>
      </c>
      <c r="G143" s="15">
        <f t="shared" si="31"/>
        <v>107</v>
      </c>
      <c r="H143" s="15">
        <f t="shared" si="32"/>
        <v>0</v>
      </c>
      <c r="I143" s="15">
        <f t="shared" si="33"/>
        <v>40</v>
      </c>
      <c r="J143" s="36">
        <f t="shared" si="34"/>
        <v>6.8027210884353739E-3</v>
      </c>
      <c r="K143"/>
    </row>
    <row r="144" spans="1:15" x14ac:dyDescent="0.3">
      <c r="A144" s="48"/>
      <c r="B144" s="26">
        <v>1</v>
      </c>
      <c r="C144" s="17" t="s">
        <v>136</v>
      </c>
      <c r="D144" s="15">
        <f t="shared" si="28"/>
        <v>2</v>
      </c>
      <c r="E144" s="15">
        <f t="shared" si="29"/>
        <v>124</v>
      </c>
      <c r="F144" s="15">
        <f t="shared" si="30"/>
        <v>1.2987012987012988E-2</v>
      </c>
      <c r="G144" s="15">
        <f t="shared" si="31"/>
        <v>107</v>
      </c>
      <c r="H144" s="15">
        <f t="shared" si="32"/>
        <v>2</v>
      </c>
      <c r="I144" s="15">
        <f t="shared" si="33"/>
        <v>40</v>
      </c>
      <c r="J144" s="36">
        <f t="shared" si="34"/>
        <v>2.0408163265306121E-2</v>
      </c>
      <c r="K144"/>
    </row>
    <row r="145" spans="1:15" x14ac:dyDescent="0.3">
      <c r="A145" s="48"/>
      <c r="B145" s="26">
        <v>1</v>
      </c>
      <c r="C145" s="17" t="s">
        <v>200</v>
      </c>
      <c r="D145" s="15">
        <f t="shared" si="28"/>
        <v>2</v>
      </c>
      <c r="E145" s="15">
        <f t="shared" si="29"/>
        <v>124</v>
      </c>
      <c r="F145" s="15">
        <f t="shared" si="30"/>
        <v>1.2987012987012988E-2</v>
      </c>
      <c r="G145" s="15">
        <f t="shared" si="31"/>
        <v>107</v>
      </c>
      <c r="H145" s="15">
        <f t="shared" si="32"/>
        <v>0</v>
      </c>
      <c r="I145" s="15">
        <f t="shared" si="33"/>
        <v>40</v>
      </c>
      <c r="J145" s="36">
        <f t="shared" si="34"/>
        <v>6.8027210884353739E-3</v>
      </c>
      <c r="K145"/>
    </row>
    <row r="146" spans="1:15" x14ac:dyDescent="0.3">
      <c r="A146" s="48"/>
      <c r="B146" s="26">
        <v>1</v>
      </c>
      <c r="C146" s="17" t="s">
        <v>87</v>
      </c>
      <c r="D146" s="15">
        <f t="shared" si="28"/>
        <v>2</v>
      </c>
      <c r="E146" s="15">
        <f t="shared" si="29"/>
        <v>124</v>
      </c>
      <c r="F146" s="15">
        <f t="shared" si="30"/>
        <v>1.2987012987012988E-2</v>
      </c>
      <c r="G146" s="15">
        <f t="shared" si="31"/>
        <v>107</v>
      </c>
      <c r="H146" s="15">
        <f t="shared" si="32"/>
        <v>1</v>
      </c>
      <c r="I146" s="15">
        <f t="shared" si="33"/>
        <v>40</v>
      </c>
      <c r="J146" s="36">
        <f t="shared" si="34"/>
        <v>1.3605442176870748E-2</v>
      </c>
      <c r="K146"/>
    </row>
    <row r="147" spans="1:15" x14ac:dyDescent="0.3">
      <c r="A147" s="48"/>
      <c r="B147" s="26">
        <v>1</v>
      </c>
      <c r="C147" s="17" t="s">
        <v>203</v>
      </c>
      <c r="D147" s="15">
        <f t="shared" si="28"/>
        <v>1</v>
      </c>
      <c r="E147" s="15">
        <f t="shared" si="29"/>
        <v>124</v>
      </c>
      <c r="F147" s="15">
        <f t="shared" si="30"/>
        <v>8.658008658008658E-3</v>
      </c>
      <c r="G147" s="15">
        <f t="shared" si="31"/>
        <v>107</v>
      </c>
      <c r="H147" s="15">
        <f t="shared" si="32"/>
        <v>2</v>
      </c>
      <c r="I147" s="15">
        <f t="shared" si="33"/>
        <v>40</v>
      </c>
      <c r="J147" s="36">
        <f t="shared" si="34"/>
        <v>2.0408163265306121E-2</v>
      </c>
      <c r="K147"/>
      <c r="O147" s="24"/>
    </row>
    <row r="148" spans="1:15" x14ac:dyDescent="0.3">
      <c r="A148" s="48"/>
      <c r="B148" s="26">
        <v>1</v>
      </c>
      <c r="C148" s="17" t="s">
        <v>206</v>
      </c>
      <c r="D148" s="15">
        <f t="shared" si="28"/>
        <v>1</v>
      </c>
      <c r="E148" s="15">
        <f t="shared" si="29"/>
        <v>124</v>
      </c>
      <c r="F148" s="15">
        <f t="shared" si="30"/>
        <v>8.658008658008658E-3</v>
      </c>
      <c r="G148" s="15">
        <f t="shared" si="31"/>
        <v>107</v>
      </c>
      <c r="H148" s="15">
        <f t="shared" si="32"/>
        <v>0</v>
      </c>
      <c r="I148" s="15">
        <f t="shared" si="33"/>
        <v>40</v>
      </c>
      <c r="J148" s="36">
        <f t="shared" si="34"/>
        <v>6.8027210884353739E-3</v>
      </c>
      <c r="K148"/>
    </row>
    <row r="149" spans="1:15" x14ac:dyDescent="0.3">
      <c r="A149" s="48"/>
      <c r="B149" s="26">
        <v>1</v>
      </c>
      <c r="C149" s="17" t="s">
        <v>207</v>
      </c>
      <c r="D149" s="15">
        <f t="shared" si="28"/>
        <v>1</v>
      </c>
      <c r="E149" s="15">
        <f t="shared" si="29"/>
        <v>124</v>
      </c>
      <c r="F149" s="15">
        <f t="shared" si="30"/>
        <v>8.658008658008658E-3</v>
      </c>
      <c r="G149" s="15">
        <f t="shared" si="31"/>
        <v>107</v>
      </c>
      <c r="H149" s="15">
        <f t="shared" si="32"/>
        <v>0</v>
      </c>
      <c r="I149" s="15">
        <f t="shared" si="33"/>
        <v>40</v>
      </c>
      <c r="J149" s="36">
        <f t="shared" si="34"/>
        <v>6.8027210884353739E-3</v>
      </c>
      <c r="K149"/>
    </row>
    <row r="150" spans="1:15" x14ac:dyDescent="0.3">
      <c r="A150" s="48"/>
      <c r="B150" s="26">
        <v>1</v>
      </c>
      <c r="C150" s="17" t="s">
        <v>136</v>
      </c>
      <c r="D150" s="15">
        <f t="shared" si="28"/>
        <v>2</v>
      </c>
      <c r="E150" s="15">
        <f t="shared" si="29"/>
        <v>124</v>
      </c>
      <c r="F150" s="15">
        <f t="shared" si="30"/>
        <v>1.2987012987012988E-2</v>
      </c>
      <c r="G150" s="15">
        <f t="shared" si="31"/>
        <v>107</v>
      </c>
      <c r="H150" s="15">
        <f t="shared" si="32"/>
        <v>2</v>
      </c>
      <c r="I150" s="15">
        <f t="shared" si="33"/>
        <v>40</v>
      </c>
      <c r="J150" s="36">
        <f t="shared" si="34"/>
        <v>2.0408163265306121E-2</v>
      </c>
      <c r="K150"/>
    </row>
    <row r="151" spans="1:15" x14ac:dyDescent="0.3">
      <c r="A151" s="48"/>
      <c r="B151" s="26">
        <v>1</v>
      </c>
      <c r="C151" s="17" t="s">
        <v>208</v>
      </c>
      <c r="D151" s="15">
        <f t="shared" si="28"/>
        <v>1</v>
      </c>
      <c r="E151" s="15">
        <f t="shared" si="29"/>
        <v>124</v>
      </c>
      <c r="F151" s="15">
        <f t="shared" si="30"/>
        <v>8.658008658008658E-3</v>
      </c>
      <c r="G151" s="15">
        <f t="shared" si="31"/>
        <v>107</v>
      </c>
      <c r="H151" s="15">
        <f t="shared" si="32"/>
        <v>0</v>
      </c>
      <c r="I151" s="15">
        <f t="shared" si="33"/>
        <v>40</v>
      </c>
      <c r="J151" s="36">
        <f t="shared" si="34"/>
        <v>6.8027210884353739E-3</v>
      </c>
      <c r="K151"/>
    </row>
    <row r="152" spans="1:15" x14ac:dyDescent="0.3">
      <c r="A152" s="48"/>
      <c r="B152" s="26">
        <v>1</v>
      </c>
      <c r="C152" s="17" t="s">
        <v>209</v>
      </c>
      <c r="D152" s="15">
        <f t="shared" si="28"/>
        <v>1</v>
      </c>
      <c r="E152" s="15">
        <f t="shared" si="29"/>
        <v>124</v>
      </c>
      <c r="F152" s="15">
        <f t="shared" si="30"/>
        <v>8.658008658008658E-3</v>
      </c>
      <c r="G152" s="15">
        <f t="shared" si="31"/>
        <v>107</v>
      </c>
      <c r="H152" s="15">
        <f t="shared" si="32"/>
        <v>0</v>
      </c>
      <c r="I152" s="15">
        <f t="shared" si="33"/>
        <v>40</v>
      </c>
      <c r="J152" s="36">
        <f t="shared" si="34"/>
        <v>6.8027210884353739E-3</v>
      </c>
      <c r="K152"/>
    </row>
    <row r="153" spans="1:15" ht="16.8" customHeight="1" x14ac:dyDescent="0.3">
      <c r="A153" s="48"/>
      <c r="B153" s="26">
        <v>1</v>
      </c>
      <c r="C153" s="18" t="s">
        <v>237</v>
      </c>
      <c r="D153" s="15">
        <f t="shared" si="28"/>
        <v>3</v>
      </c>
      <c r="E153" s="15">
        <f t="shared" si="29"/>
        <v>124</v>
      </c>
      <c r="F153" s="15">
        <f t="shared" si="30"/>
        <v>1.7316017316017316E-2</v>
      </c>
      <c r="G153" s="15">
        <f t="shared" si="31"/>
        <v>107</v>
      </c>
      <c r="H153" s="15">
        <f t="shared" si="32"/>
        <v>0</v>
      </c>
      <c r="I153" s="15">
        <f t="shared" si="33"/>
        <v>40</v>
      </c>
      <c r="J153" s="36">
        <f t="shared" si="34"/>
        <v>6.8027210884353739E-3</v>
      </c>
      <c r="K153"/>
    </row>
    <row r="154" spans="1:15" x14ac:dyDescent="0.3">
      <c r="A154" s="48"/>
      <c r="B154" s="26">
        <v>1</v>
      </c>
      <c r="C154" s="17" t="s">
        <v>211</v>
      </c>
      <c r="D154" s="15">
        <f t="shared" si="28"/>
        <v>1</v>
      </c>
      <c r="E154" s="15">
        <f t="shared" si="29"/>
        <v>124</v>
      </c>
      <c r="F154" s="15">
        <f t="shared" si="30"/>
        <v>8.658008658008658E-3</v>
      </c>
      <c r="G154" s="15">
        <f t="shared" si="31"/>
        <v>107</v>
      </c>
      <c r="H154" s="15">
        <f t="shared" si="32"/>
        <v>0</v>
      </c>
      <c r="I154" s="15">
        <f t="shared" si="33"/>
        <v>40</v>
      </c>
      <c r="J154" s="36">
        <f t="shared" si="34"/>
        <v>6.8027210884353739E-3</v>
      </c>
      <c r="K154"/>
    </row>
    <row r="155" spans="1:15" x14ac:dyDescent="0.3">
      <c r="A155" s="48"/>
      <c r="B155" s="26">
        <v>1</v>
      </c>
      <c r="C155" s="17" t="s">
        <v>214</v>
      </c>
      <c r="D155" s="15">
        <f t="shared" si="28"/>
        <v>1</v>
      </c>
      <c r="E155" s="15">
        <f t="shared" si="29"/>
        <v>124</v>
      </c>
      <c r="F155" s="15">
        <f t="shared" si="30"/>
        <v>8.658008658008658E-3</v>
      </c>
      <c r="G155" s="15">
        <f t="shared" si="31"/>
        <v>107</v>
      </c>
      <c r="H155" s="15">
        <f t="shared" si="32"/>
        <v>0</v>
      </c>
      <c r="I155" s="15">
        <f t="shared" si="33"/>
        <v>40</v>
      </c>
      <c r="J155" s="36">
        <f t="shared" si="34"/>
        <v>6.8027210884353739E-3</v>
      </c>
      <c r="K155"/>
      <c r="O155" s="24"/>
    </row>
    <row r="156" spans="1:15" x14ac:dyDescent="0.3">
      <c r="A156" s="48"/>
      <c r="B156" s="26">
        <v>1</v>
      </c>
      <c r="C156" s="17" t="s">
        <v>78</v>
      </c>
      <c r="D156" s="15">
        <f t="shared" si="28"/>
        <v>3</v>
      </c>
      <c r="E156" s="15">
        <f t="shared" si="29"/>
        <v>124</v>
      </c>
      <c r="F156" s="15">
        <f t="shared" si="30"/>
        <v>1.7316017316017316E-2</v>
      </c>
      <c r="G156" s="15">
        <f t="shared" si="31"/>
        <v>107</v>
      </c>
      <c r="H156" s="15">
        <f t="shared" si="32"/>
        <v>0</v>
      </c>
      <c r="I156" s="15">
        <f t="shared" si="33"/>
        <v>40</v>
      </c>
      <c r="J156" s="36">
        <f t="shared" si="34"/>
        <v>6.8027210884353739E-3</v>
      </c>
      <c r="K156"/>
      <c r="O156" s="24"/>
    </row>
    <row r="157" spans="1:15" x14ac:dyDescent="0.3">
      <c r="A157" s="48"/>
      <c r="B157" s="26">
        <v>1</v>
      </c>
      <c r="C157" s="17" t="s">
        <v>215</v>
      </c>
      <c r="D157" s="15">
        <f t="shared" si="28"/>
        <v>1</v>
      </c>
      <c r="E157" s="15">
        <f t="shared" si="29"/>
        <v>124</v>
      </c>
      <c r="F157" s="15">
        <f t="shared" si="30"/>
        <v>8.658008658008658E-3</v>
      </c>
      <c r="G157" s="15">
        <f t="shared" si="31"/>
        <v>107</v>
      </c>
      <c r="H157" s="15">
        <f t="shared" si="32"/>
        <v>0</v>
      </c>
      <c r="I157" s="15">
        <f t="shared" si="33"/>
        <v>40</v>
      </c>
      <c r="J157" s="36">
        <f t="shared" si="34"/>
        <v>6.8027210884353739E-3</v>
      </c>
      <c r="K157"/>
    </row>
    <row r="158" spans="1:15" x14ac:dyDescent="0.3">
      <c r="A158" s="48"/>
      <c r="B158" s="26">
        <v>1</v>
      </c>
      <c r="C158" s="17" t="s">
        <v>217</v>
      </c>
      <c r="D158" s="15">
        <f t="shared" si="28"/>
        <v>2</v>
      </c>
      <c r="E158" s="15">
        <f t="shared" si="29"/>
        <v>124</v>
      </c>
      <c r="F158" s="15">
        <f t="shared" si="30"/>
        <v>1.2987012987012988E-2</v>
      </c>
      <c r="G158" s="15">
        <f t="shared" si="31"/>
        <v>107</v>
      </c>
      <c r="H158" s="15">
        <f t="shared" si="32"/>
        <v>0</v>
      </c>
      <c r="I158" s="15">
        <f t="shared" si="33"/>
        <v>40</v>
      </c>
      <c r="J158" s="36">
        <f t="shared" si="34"/>
        <v>6.8027210884353739E-3</v>
      </c>
      <c r="K158"/>
      <c r="O158" s="24"/>
    </row>
    <row r="159" spans="1:15" x14ac:dyDescent="0.3">
      <c r="A159" s="48"/>
      <c r="B159" s="26">
        <v>1</v>
      </c>
      <c r="C159" s="17" t="s">
        <v>311</v>
      </c>
      <c r="D159" s="15">
        <f t="shared" si="28"/>
        <v>1</v>
      </c>
      <c r="E159" s="15">
        <f t="shared" si="29"/>
        <v>124</v>
      </c>
      <c r="F159" s="15">
        <f t="shared" si="30"/>
        <v>8.658008658008658E-3</v>
      </c>
      <c r="G159" s="15">
        <f t="shared" si="31"/>
        <v>107</v>
      </c>
      <c r="H159" s="15">
        <f t="shared" si="32"/>
        <v>0</v>
      </c>
      <c r="I159" s="15">
        <f t="shared" si="33"/>
        <v>40</v>
      </c>
      <c r="J159" s="36">
        <f t="shared" si="34"/>
        <v>6.8027210884353739E-3</v>
      </c>
      <c r="K159"/>
    </row>
    <row r="160" spans="1:15" x14ac:dyDescent="0.3">
      <c r="A160" s="48"/>
      <c r="B160" s="41">
        <v>1</v>
      </c>
      <c r="C160" s="17" t="s">
        <v>224</v>
      </c>
      <c r="D160" s="42">
        <f t="shared" si="28"/>
        <v>3</v>
      </c>
      <c r="E160" s="42">
        <f t="shared" si="29"/>
        <v>124</v>
      </c>
      <c r="F160" s="42">
        <f t="shared" si="30"/>
        <v>1.7316017316017316E-2</v>
      </c>
      <c r="G160" s="15">
        <f t="shared" si="31"/>
        <v>107</v>
      </c>
      <c r="H160" s="42">
        <f t="shared" si="32"/>
        <v>0</v>
      </c>
      <c r="I160" s="42">
        <f t="shared" si="33"/>
        <v>40</v>
      </c>
      <c r="J160" s="49">
        <f t="shared" si="34"/>
        <v>6.8027210884353739E-3</v>
      </c>
      <c r="K160"/>
    </row>
    <row r="161" spans="1:11" x14ac:dyDescent="0.3">
      <c r="A161" s="48"/>
      <c r="B161" s="41">
        <v>1</v>
      </c>
      <c r="C161" s="17" t="s">
        <v>19</v>
      </c>
      <c r="D161" s="15">
        <f t="shared" si="28"/>
        <v>2</v>
      </c>
      <c r="E161" s="15">
        <f t="shared" si="29"/>
        <v>124</v>
      </c>
      <c r="F161" s="15">
        <f t="shared" si="30"/>
        <v>1.2987012987012988E-2</v>
      </c>
      <c r="G161" s="15">
        <f t="shared" si="31"/>
        <v>107</v>
      </c>
      <c r="H161" s="15">
        <f t="shared" si="32"/>
        <v>0</v>
      </c>
      <c r="I161" s="15">
        <f t="shared" si="33"/>
        <v>40</v>
      </c>
      <c r="J161" s="36">
        <f t="shared" si="34"/>
        <v>6.8027210884353739E-3</v>
      </c>
      <c r="K161"/>
    </row>
    <row r="162" spans="1:11" x14ac:dyDescent="0.3">
      <c r="A162" s="48"/>
      <c r="B162" s="41">
        <v>1</v>
      </c>
      <c r="C162" s="18" t="s">
        <v>237</v>
      </c>
      <c r="D162" s="15">
        <f t="shared" ref="D162:D165" si="35">COUNTIFS($C$2:$C$165,C162,$B$2:$B$165,1)</f>
        <v>3</v>
      </c>
      <c r="E162" s="15">
        <f t="shared" si="29"/>
        <v>124</v>
      </c>
      <c r="F162" s="15">
        <f t="shared" si="30"/>
        <v>1.7316017316017316E-2</v>
      </c>
      <c r="G162" s="15">
        <f t="shared" si="31"/>
        <v>107</v>
      </c>
      <c r="H162" s="15">
        <f t="shared" si="32"/>
        <v>0</v>
      </c>
      <c r="I162" s="15">
        <f t="shared" si="33"/>
        <v>40</v>
      </c>
      <c r="J162" s="36">
        <f t="shared" si="34"/>
        <v>6.8027210884353739E-3</v>
      </c>
      <c r="K162"/>
    </row>
    <row r="163" spans="1:11" x14ac:dyDescent="0.3">
      <c r="A163" s="48"/>
      <c r="B163" s="41">
        <v>1</v>
      </c>
      <c r="C163" s="17" t="s">
        <v>320</v>
      </c>
      <c r="D163" s="15">
        <f t="shared" si="35"/>
        <v>1</v>
      </c>
      <c r="E163" s="15">
        <f t="shared" si="29"/>
        <v>124</v>
      </c>
      <c r="F163" s="15">
        <f t="shared" si="30"/>
        <v>8.658008658008658E-3</v>
      </c>
      <c r="G163" s="15">
        <f t="shared" si="31"/>
        <v>107</v>
      </c>
      <c r="H163" s="15">
        <f t="shared" si="32"/>
        <v>0</v>
      </c>
      <c r="I163" s="15">
        <f t="shared" si="33"/>
        <v>40</v>
      </c>
      <c r="J163" s="36">
        <f t="shared" si="34"/>
        <v>6.8027210884353739E-3</v>
      </c>
      <c r="K163"/>
    </row>
    <row r="164" spans="1:11" x14ac:dyDescent="0.3">
      <c r="A164" s="48"/>
      <c r="B164" s="41">
        <v>1</v>
      </c>
      <c r="C164" s="17" t="s">
        <v>224</v>
      </c>
      <c r="D164" s="15">
        <f t="shared" si="35"/>
        <v>3</v>
      </c>
      <c r="E164" s="15">
        <f t="shared" si="29"/>
        <v>124</v>
      </c>
      <c r="F164" s="15">
        <f t="shared" si="30"/>
        <v>1.7316017316017316E-2</v>
      </c>
      <c r="G164" s="15">
        <f t="shared" si="31"/>
        <v>107</v>
      </c>
      <c r="H164" s="15">
        <f t="shared" si="32"/>
        <v>0</v>
      </c>
      <c r="I164" s="15">
        <f t="shared" si="33"/>
        <v>40</v>
      </c>
      <c r="J164" s="36">
        <f t="shared" si="34"/>
        <v>6.8027210884353739E-3</v>
      </c>
      <c r="K164"/>
    </row>
    <row r="165" spans="1:11" x14ac:dyDescent="0.3">
      <c r="A165" s="48"/>
      <c r="B165" s="41">
        <v>1</v>
      </c>
      <c r="C165" s="17" t="s">
        <v>296</v>
      </c>
      <c r="D165" s="15">
        <f t="shared" si="35"/>
        <v>1</v>
      </c>
      <c r="E165" s="15">
        <f t="shared" si="29"/>
        <v>124</v>
      </c>
      <c r="F165" s="15">
        <f t="shared" si="30"/>
        <v>8.658008658008658E-3</v>
      </c>
      <c r="G165" s="15">
        <f t="shared" si="31"/>
        <v>107</v>
      </c>
      <c r="H165" s="15">
        <f t="shared" si="32"/>
        <v>0</v>
      </c>
      <c r="I165" s="15">
        <f t="shared" si="33"/>
        <v>40</v>
      </c>
      <c r="J165" s="36">
        <f t="shared" si="34"/>
        <v>6.8027210884353739E-3</v>
      </c>
      <c r="K165"/>
    </row>
    <row r="166" spans="1:11" x14ac:dyDescent="0.3">
      <c r="A166" s="52"/>
      <c r="B166" s="53"/>
      <c r="C166"/>
      <c r="H166" s="19"/>
      <c r="K166"/>
    </row>
    <row r="167" spans="1:11" x14ac:dyDescent="0.3">
      <c r="A167" s="52"/>
      <c r="B167" s="53"/>
      <c r="C167"/>
      <c r="H167" s="19"/>
      <c r="K167"/>
    </row>
    <row r="168" spans="1:11" ht="14.4" x14ac:dyDescent="0.3">
      <c r="A168" s="19">
        <v>1</v>
      </c>
      <c r="B168" s="19">
        <v>2</v>
      </c>
      <c r="C168" s="19">
        <v>3</v>
      </c>
      <c r="D168" s="19">
        <v>4</v>
      </c>
      <c r="E168" s="19">
        <v>5</v>
      </c>
      <c r="F168" s="19">
        <v>6</v>
      </c>
      <c r="G168" s="19">
        <v>7</v>
      </c>
      <c r="H168" s="19">
        <v>8</v>
      </c>
      <c r="I168" s="19">
        <v>9</v>
      </c>
      <c r="J168" s="19">
        <v>10</v>
      </c>
      <c r="K168"/>
    </row>
    <row r="169" spans="1:11" ht="14.4" x14ac:dyDescent="0.3">
      <c r="A169" s="17" t="s">
        <v>14</v>
      </c>
      <c r="B169" s="17" t="s">
        <v>56</v>
      </c>
      <c r="C169" s="18" t="s">
        <v>56</v>
      </c>
      <c r="D169" s="17" t="s">
        <v>131</v>
      </c>
      <c r="E169" s="17" t="s">
        <v>387</v>
      </c>
      <c r="F169" s="17" t="s">
        <v>166</v>
      </c>
      <c r="G169" s="17" t="s">
        <v>327</v>
      </c>
      <c r="H169" s="17" t="s">
        <v>382</v>
      </c>
      <c r="I169" s="18" t="s">
        <v>87</v>
      </c>
      <c r="J169" s="17" t="s">
        <v>249</v>
      </c>
      <c r="K169"/>
    </row>
    <row r="170" spans="1:11" ht="14.4" x14ac:dyDescent="0.3">
      <c r="A170" s="17" t="s">
        <v>224</v>
      </c>
      <c r="B170" s="17" t="s">
        <v>58</v>
      </c>
      <c r="C170" s="17" t="s">
        <v>14</v>
      </c>
      <c r="D170" s="18" t="s">
        <v>39</v>
      </c>
      <c r="E170" s="50" t="s">
        <v>185</v>
      </c>
      <c r="F170" s="17" t="s">
        <v>93</v>
      </c>
      <c r="G170" s="17" t="s">
        <v>185</v>
      </c>
      <c r="H170" s="18" t="s">
        <v>237</v>
      </c>
      <c r="I170" s="17" t="s">
        <v>227</v>
      </c>
      <c r="J170" s="18" t="s">
        <v>339</v>
      </c>
      <c r="K170"/>
    </row>
    <row r="171" spans="1:11" ht="14.4" x14ac:dyDescent="0.3">
      <c r="A171" s="17" t="s">
        <v>19</v>
      </c>
      <c r="B171" s="17" t="s">
        <v>315</v>
      </c>
      <c r="C171" s="17" t="s">
        <v>70</v>
      </c>
      <c r="D171" s="17" t="s">
        <v>133</v>
      </c>
      <c r="E171" s="17" t="s">
        <v>148</v>
      </c>
      <c r="F171" s="17" t="s">
        <v>30</v>
      </c>
      <c r="G171" s="17" t="s">
        <v>186</v>
      </c>
      <c r="H171" s="17" t="s">
        <v>309</v>
      </c>
      <c r="I171" s="18" t="s">
        <v>338</v>
      </c>
      <c r="J171" s="17" t="s">
        <v>118</v>
      </c>
      <c r="K171"/>
    </row>
    <row r="172" spans="1:11" ht="14.4" x14ac:dyDescent="0.3">
      <c r="A172" s="17" t="s">
        <v>20</v>
      </c>
      <c r="B172" s="17" t="s">
        <v>30</v>
      </c>
      <c r="C172" s="17" t="s">
        <v>87</v>
      </c>
      <c r="D172" s="17" t="s">
        <v>136</v>
      </c>
      <c r="E172" s="17" t="s">
        <v>285</v>
      </c>
      <c r="F172" s="17" t="s">
        <v>31</v>
      </c>
      <c r="G172" s="17" t="s">
        <v>308</v>
      </c>
      <c r="H172" s="17" t="s">
        <v>200</v>
      </c>
      <c r="I172" s="17" t="s">
        <v>229</v>
      </c>
      <c r="J172" s="17" t="s">
        <v>313</v>
      </c>
      <c r="K172"/>
    </row>
    <row r="173" spans="1:11" ht="14.4" x14ac:dyDescent="0.3">
      <c r="A173" s="17" t="s">
        <v>21</v>
      </c>
      <c r="B173" s="17" t="s">
        <v>31</v>
      </c>
      <c r="C173" s="17" t="s">
        <v>301</v>
      </c>
      <c r="D173" s="17" t="s">
        <v>203</v>
      </c>
      <c r="E173" s="17" t="s">
        <v>87</v>
      </c>
      <c r="F173" s="17" t="s">
        <v>167</v>
      </c>
      <c r="G173" s="18"/>
      <c r="H173" s="17" t="s">
        <v>136</v>
      </c>
      <c r="I173" s="18" t="s">
        <v>203</v>
      </c>
      <c r="J173" s="17" t="s">
        <v>252</v>
      </c>
      <c r="K173"/>
    </row>
    <row r="174" spans="1:11" ht="14.4" x14ac:dyDescent="0.3">
      <c r="A174" s="17" t="s">
        <v>292</v>
      </c>
      <c r="B174" s="17" t="s">
        <v>300</v>
      </c>
      <c r="C174" s="17" t="s">
        <v>91</v>
      </c>
      <c r="D174" s="17" t="s">
        <v>322</v>
      </c>
      <c r="E174" s="17" t="s">
        <v>151</v>
      </c>
      <c r="F174" s="18" t="s">
        <v>331</v>
      </c>
      <c r="G174" s="17" t="s">
        <v>185</v>
      </c>
      <c r="H174" s="17" t="s">
        <v>200</v>
      </c>
      <c r="I174" s="18" t="s">
        <v>203</v>
      </c>
      <c r="J174" s="17" t="s">
        <v>254</v>
      </c>
      <c r="K174"/>
    </row>
    <row r="175" spans="1:11" ht="14.4" x14ac:dyDescent="0.3">
      <c r="A175" s="17" t="s">
        <v>14</v>
      </c>
      <c r="B175" s="18" t="s">
        <v>342</v>
      </c>
      <c r="C175" s="17" t="s">
        <v>92</v>
      </c>
      <c r="D175" s="17" t="s">
        <v>136</v>
      </c>
      <c r="E175" s="17" t="s">
        <v>152</v>
      </c>
      <c r="F175" s="18" t="s">
        <v>297</v>
      </c>
      <c r="G175" s="18" t="s">
        <v>334</v>
      </c>
      <c r="H175" s="17" t="s">
        <v>87</v>
      </c>
      <c r="I175" s="17" t="s">
        <v>234</v>
      </c>
      <c r="J175" s="17" t="s">
        <v>255</v>
      </c>
    </row>
    <row r="176" spans="1:11" ht="14.4" x14ac:dyDescent="0.3">
      <c r="A176" s="17" t="s">
        <v>25</v>
      </c>
      <c r="B176" s="17" t="s">
        <v>68</v>
      </c>
      <c r="C176" s="17" t="s">
        <v>93</v>
      </c>
      <c r="D176" s="18" t="s">
        <v>203</v>
      </c>
      <c r="E176" s="18" t="s">
        <v>333</v>
      </c>
      <c r="F176" s="18" t="s">
        <v>332</v>
      </c>
      <c r="G176" s="18" t="s">
        <v>30</v>
      </c>
      <c r="H176" s="17" t="s">
        <v>203</v>
      </c>
      <c r="I176" s="17" t="s">
        <v>235</v>
      </c>
      <c r="J176" s="17" t="s">
        <v>289</v>
      </c>
    </row>
    <row r="177" spans="1:10" ht="14.4" x14ac:dyDescent="0.3">
      <c r="A177" s="17" t="s">
        <v>28</v>
      </c>
      <c r="B177" s="18" t="s">
        <v>346</v>
      </c>
      <c r="C177" s="17" t="s">
        <v>30</v>
      </c>
      <c r="D177" s="18" t="s">
        <v>48</v>
      </c>
      <c r="E177" s="17" t="s">
        <v>56</v>
      </c>
      <c r="F177" s="18" t="s">
        <v>76</v>
      </c>
      <c r="G177" s="17" t="s">
        <v>194</v>
      </c>
      <c r="H177" s="17" t="s">
        <v>206</v>
      </c>
      <c r="I177" s="17" t="s">
        <v>236</v>
      </c>
      <c r="J177" s="17" t="s">
        <v>105</v>
      </c>
    </row>
    <row r="178" spans="1:10" ht="14.4" x14ac:dyDescent="0.3">
      <c r="A178" s="17" t="s">
        <v>30</v>
      </c>
      <c r="B178" s="18" t="s">
        <v>343</v>
      </c>
      <c r="C178" s="17" t="s">
        <v>31</v>
      </c>
      <c r="D178" s="17" t="s">
        <v>304</v>
      </c>
      <c r="E178" s="18" t="s">
        <v>349</v>
      </c>
      <c r="F178" s="17" t="s">
        <v>288</v>
      </c>
      <c r="G178" s="18"/>
      <c r="H178" s="17" t="s">
        <v>207</v>
      </c>
      <c r="I178" s="17" t="s">
        <v>237</v>
      </c>
      <c r="J178" s="18" t="s">
        <v>34</v>
      </c>
    </row>
    <row r="179" spans="1:10" ht="14.4" x14ac:dyDescent="0.3">
      <c r="A179" s="17" t="s">
        <v>31</v>
      </c>
      <c r="B179" s="18" t="s">
        <v>345</v>
      </c>
      <c r="C179" s="18" t="s">
        <v>331</v>
      </c>
      <c r="D179" s="17" t="s">
        <v>325</v>
      </c>
      <c r="E179" s="17" t="s">
        <v>156</v>
      </c>
      <c r="F179" s="17" t="s">
        <v>91</v>
      </c>
      <c r="G179" s="18" t="s">
        <v>97</v>
      </c>
      <c r="H179" s="17" t="s">
        <v>136</v>
      </c>
      <c r="I179" s="17" t="s">
        <v>240</v>
      </c>
      <c r="J179" s="18" t="s">
        <v>340</v>
      </c>
    </row>
    <row r="180" spans="1:10" ht="14.4" x14ac:dyDescent="0.3">
      <c r="A180" s="18" t="s">
        <v>344</v>
      </c>
      <c r="B180" s="17" t="s">
        <v>76</v>
      </c>
      <c r="C180" s="17" t="s">
        <v>97</v>
      </c>
      <c r="D180" s="17" t="s">
        <v>144</v>
      </c>
      <c r="E180" s="17" t="s">
        <v>133</v>
      </c>
      <c r="F180" s="17" t="s">
        <v>93</v>
      </c>
      <c r="G180" s="17"/>
      <c r="H180" s="17" t="s">
        <v>208</v>
      </c>
      <c r="I180" s="17" t="s">
        <v>229</v>
      </c>
      <c r="J180" s="17" t="s">
        <v>385</v>
      </c>
    </row>
    <row r="181" spans="1:10" ht="14.4" x14ac:dyDescent="0.3">
      <c r="A181" s="17" t="s">
        <v>34</v>
      </c>
      <c r="B181" s="17" t="s">
        <v>77</v>
      </c>
      <c r="C181" s="17" t="s">
        <v>34</v>
      </c>
      <c r="D181" s="18" t="s">
        <v>386</v>
      </c>
      <c r="E181" s="17" t="s">
        <v>159</v>
      </c>
      <c r="F181" s="17" t="s">
        <v>30</v>
      </c>
      <c r="G181" s="17"/>
      <c r="H181" s="17" t="s">
        <v>209</v>
      </c>
      <c r="I181" s="17" t="s">
        <v>190</v>
      </c>
      <c r="J181" s="17" t="s">
        <v>260</v>
      </c>
    </row>
    <row r="182" spans="1:10" ht="14.4" x14ac:dyDescent="0.3">
      <c r="A182" s="17" t="s">
        <v>97</v>
      </c>
      <c r="B182" s="51" t="s">
        <v>78</v>
      </c>
      <c r="C182" s="18" t="s">
        <v>217</v>
      </c>
      <c r="D182" s="17"/>
      <c r="E182" s="17" t="s">
        <v>160</v>
      </c>
      <c r="F182" s="17" t="s">
        <v>31</v>
      </c>
      <c r="G182" s="17"/>
      <c r="H182" s="18" t="s">
        <v>237</v>
      </c>
      <c r="I182" s="50" t="s">
        <v>185</v>
      </c>
      <c r="J182" s="17" t="s">
        <v>261</v>
      </c>
    </row>
    <row r="183" spans="1:10" ht="14.4" x14ac:dyDescent="0.3">
      <c r="A183" s="17" t="s">
        <v>297</v>
      </c>
      <c r="B183" s="18" t="s">
        <v>309</v>
      </c>
      <c r="C183" s="17" t="s">
        <v>28</v>
      </c>
      <c r="D183" s="17"/>
      <c r="E183" s="18" t="s">
        <v>335</v>
      </c>
      <c r="F183" s="17" t="s">
        <v>175</v>
      </c>
      <c r="G183" s="17"/>
      <c r="H183" s="17" t="s">
        <v>211</v>
      </c>
      <c r="I183" s="17" t="s">
        <v>243</v>
      </c>
      <c r="J183" s="17" t="s">
        <v>314</v>
      </c>
    </row>
    <row r="184" spans="1:10" ht="14.4" x14ac:dyDescent="0.3">
      <c r="A184" s="18" t="s">
        <v>75</v>
      </c>
      <c r="B184" s="17" t="s">
        <v>81</v>
      </c>
      <c r="C184" s="17" t="s">
        <v>101</v>
      </c>
      <c r="D184" s="17"/>
      <c r="E184" s="17" t="s">
        <v>164</v>
      </c>
      <c r="F184" s="17" t="s">
        <v>167</v>
      </c>
      <c r="G184" s="17"/>
      <c r="H184" s="17" t="s">
        <v>214</v>
      </c>
      <c r="I184" s="17" t="s">
        <v>167</v>
      </c>
      <c r="J184" s="50" t="s">
        <v>263</v>
      </c>
    </row>
    <row r="185" spans="1:10" ht="14.4" x14ac:dyDescent="0.3">
      <c r="A185" s="17" t="s">
        <v>39</v>
      </c>
      <c r="B185" s="17" t="s">
        <v>14</v>
      </c>
      <c r="C185" s="17" t="s">
        <v>102</v>
      </c>
      <c r="D185" s="17"/>
      <c r="E185" s="17" t="s">
        <v>144</v>
      </c>
      <c r="F185" s="18" t="s">
        <v>336</v>
      </c>
      <c r="G185" s="17"/>
      <c r="H185" s="17" t="s">
        <v>78</v>
      </c>
      <c r="I185" s="17" t="s">
        <v>245</v>
      </c>
      <c r="J185" s="17" t="s">
        <v>185</v>
      </c>
    </row>
    <row r="186" spans="1:10" ht="14.4" x14ac:dyDescent="0.3">
      <c r="A186" s="17" t="s">
        <v>21</v>
      </c>
      <c r="B186"/>
      <c r="C186" s="17" t="s">
        <v>52</v>
      </c>
      <c r="D186" s="17"/>
      <c r="E186" s="17"/>
      <c r="F186" s="18" t="s">
        <v>337</v>
      </c>
      <c r="G186" s="17"/>
      <c r="H186" s="17" t="s">
        <v>215</v>
      </c>
      <c r="I186" s="17" t="s">
        <v>241</v>
      </c>
      <c r="J186" s="17" t="s">
        <v>56</v>
      </c>
    </row>
    <row r="187" spans="1:10" ht="14.4" x14ac:dyDescent="0.3">
      <c r="A187" s="18" t="s">
        <v>292</v>
      </c>
      <c r="B187"/>
      <c r="C187" s="17" t="s">
        <v>105</v>
      </c>
      <c r="D187" s="17"/>
      <c r="E187" s="17"/>
      <c r="F187" s="51" t="s">
        <v>52</v>
      </c>
      <c r="G187" s="17"/>
      <c r="H187" s="17" t="s">
        <v>217</v>
      </c>
      <c r="I187" s="18" t="s">
        <v>341</v>
      </c>
      <c r="J187" s="17" t="s">
        <v>264</v>
      </c>
    </row>
    <row r="188" spans="1:10" ht="14.4" x14ac:dyDescent="0.3">
      <c r="A188" s="17" t="s">
        <v>323</v>
      </c>
      <c r="B188"/>
      <c r="C188" s="17" t="s">
        <v>91</v>
      </c>
      <c r="D188" s="17"/>
      <c r="E188" s="17"/>
      <c r="F188" s="51" t="s">
        <v>388</v>
      </c>
      <c r="G188" s="17"/>
      <c r="H188" s="17" t="s">
        <v>311</v>
      </c>
      <c r="I188" s="17" t="s">
        <v>28</v>
      </c>
      <c r="J188" s="17" t="s">
        <v>217</v>
      </c>
    </row>
    <row r="189" spans="1:10" ht="14.4" x14ac:dyDescent="0.3">
      <c r="A189" s="17" t="s">
        <v>44</v>
      </c>
      <c r="B189" s="17"/>
      <c r="C189" s="18" t="s">
        <v>347</v>
      </c>
      <c r="D189" s="17"/>
      <c r="E189" s="17"/>
      <c r="F189" s="17" t="s">
        <v>91</v>
      </c>
      <c r="G189" s="17"/>
      <c r="H189" s="17" t="s">
        <v>224</v>
      </c>
      <c r="I189"/>
      <c r="J189" s="17" t="s">
        <v>265</v>
      </c>
    </row>
    <row r="190" spans="1:10" ht="14.4" x14ac:dyDescent="0.3">
      <c r="A190" s="17" t="s">
        <v>45</v>
      </c>
      <c r="B190" s="17"/>
      <c r="C190" s="17" t="s">
        <v>108</v>
      </c>
      <c r="D190" s="17"/>
      <c r="E190" s="17"/>
      <c r="F190" s="17" t="s">
        <v>294</v>
      </c>
      <c r="G190" s="17"/>
      <c r="H190" s="17" t="s">
        <v>19</v>
      </c>
      <c r="I190" s="17"/>
      <c r="J190" s="17" t="s">
        <v>384</v>
      </c>
    </row>
    <row r="191" spans="1:10" ht="14.4" x14ac:dyDescent="0.3">
      <c r="A191" s="17" t="s">
        <v>48</v>
      </c>
      <c r="B191" s="17"/>
      <c r="C191" s="17" t="s">
        <v>324</v>
      </c>
      <c r="D191" s="17"/>
      <c r="E191" s="17"/>
      <c r="F191" s="17"/>
      <c r="G191" s="17"/>
      <c r="H191" s="18" t="s">
        <v>237</v>
      </c>
      <c r="I191" s="17"/>
      <c r="J191" s="17" t="s">
        <v>267</v>
      </c>
    </row>
    <row r="192" spans="1:10" ht="14.4" x14ac:dyDescent="0.3">
      <c r="A192" s="17" t="s">
        <v>34</v>
      </c>
      <c r="B192" s="17"/>
      <c r="C192" s="17" t="s">
        <v>39</v>
      </c>
      <c r="D192" s="17"/>
      <c r="E192" s="17"/>
      <c r="F192" s="17"/>
      <c r="G192" s="17"/>
      <c r="H192" s="17" t="s">
        <v>320</v>
      </c>
      <c r="I192" s="17"/>
      <c r="J192" s="17" t="s">
        <v>268</v>
      </c>
    </row>
    <row r="193" spans="1:10" ht="14.4" x14ac:dyDescent="0.3">
      <c r="A193" s="17" t="s">
        <v>51</v>
      </c>
      <c r="B193" s="17"/>
      <c r="C193" s="17" t="s">
        <v>105</v>
      </c>
      <c r="D193" s="17"/>
      <c r="E193" s="17"/>
      <c r="F193" s="17"/>
      <c r="G193" s="17"/>
      <c r="H193" s="17" t="s">
        <v>224</v>
      </c>
      <c r="I193" s="17"/>
      <c r="J193" s="17" t="s">
        <v>269</v>
      </c>
    </row>
    <row r="194" spans="1:10" ht="14.4" x14ac:dyDescent="0.3">
      <c r="A194" s="17" t="s">
        <v>52</v>
      </c>
      <c r="B194" s="17"/>
      <c r="C194" s="18" t="s">
        <v>348</v>
      </c>
      <c r="D194" s="17"/>
      <c r="E194" s="17"/>
      <c r="F194" s="17"/>
      <c r="G194" s="17"/>
      <c r="H194" s="17" t="s">
        <v>296</v>
      </c>
      <c r="I194" s="17"/>
      <c r="J194" s="17" t="s">
        <v>300</v>
      </c>
    </row>
    <row r="195" spans="1:10" ht="14.4" x14ac:dyDescent="0.3">
      <c r="A195" s="18" t="s">
        <v>330</v>
      </c>
      <c r="B195" s="17"/>
      <c r="C195" s="17" t="s">
        <v>115</v>
      </c>
      <c r="D195" s="17"/>
      <c r="E195" s="17"/>
      <c r="F195" s="17"/>
      <c r="G195" s="17"/>
      <c r="H195" s="17"/>
      <c r="I195" s="17"/>
      <c r="J195"/>
    </row>
    <row r="196" spans="1:10" ht="14.4" x14ac:dyDescent="0.3">
      <c r="A196" s="17"/>
      <c r="B196" s="17"/>
      <c r="C196" s="17" t="s">
        <v>116</v>
      </c>
      <c r="D196" s="17"/>
      <c r="E196" s="17"/>
      <c r="F196" s="17"/>
      <c r="G196" s="17"/>
      <c r="H196"/>
      <c r="I196" s="17"/>
      <c r="J196" s="17"/>
    </row>
    <row r="197" spans="1:10" ht="14.4" x14ac:dyDescent="0.3">
      <c r="A197" s="17"/>
      <c r="B197" s="17"/>
      <c r="C197" s="17" t="s">
        <v>118</v>
      </c>
      <c r="D197" s="17"/>
      <c r="E197" s="17"/>
      <c r="F197" s="17"/>
      <c r="G197" s="17"/>
      <c r="H197"/>
      <c r="I197" s="17"/>
      <c r="J197" s="17"/>
    </row>
    <row r="198" spans="1:10" ht="14.4" x14ac:dyDescent="0.3">
      <c r="A198" s="17"/>
      <c r="B198" s="17"/>
      <c r="C198" s="18" t="s">
        <v>78</v>
      </c>
      <c r="D198" s="17"/>
      <c r="E198" s="17"/>
      <c r="F198" s="17"/>
      <c r="G198" s="17"/>
      <c r="H198"/>
      <c r="I198" s="17"/>
      <c r="J198" s="17"/>
    </row>
    <row r="199" spans="1:10" ht="14.4" x14ac:dyDescent="0.3">
      <c r="A199" s="17"/>
      <c r="B199" s="17"/>
      <c r="C199" s="17" t="s">
        <v>120</v>
      </c>
      <c r="D199" s="17"/>
      <c r="E199" s="17"/>
      <c r="F199" s="17"/>
      <c r="G199" s="17"/>
      <c r="H199" s="17"/>
      <c r="I199" s="17"/>
      <c r="J199" s="17"/>
    </row>
    <row r="200" spans="1:10" ht="14.4" x14ac:dyDescent="0.3">
      <c r="A200" s="17"/>
      <c r="B200" s="17"/>
      <c r="C200" s="17" t="s">
        <v>121</v>
      </c>
      <c r="D200" s="17"/>
      <c r="E200" s="17"/>
      <c r="F200" s="17"/>
      <c r="G200" s="17"/>
      <c r="H200" s="17"/>
      <c r="I200" s="17"/>
      <c r="J200" s="17"/>
    </row>
    <row r="201" spans="1:10" ht="14.4" x14ac:dyDescent="0.3">
      <c r="A201" s="17"/>
      <c r="B201" s="17"/>
      <c r="C201" s="17" t="s">
        <v>303</v>
      </c>
      <c r="D201" s="17"/>
      <c r="E201" s="17"/>
      <c r="F201" s="17"/>
      <c r="G201" s="17"/>
      <c r="H201" s="17"/>
      <c r="I201" s="17"/>
      <c r="J201" s="17"/>
    </row>
  </sheetData>
  <mergeCells count="3">
    <mergeCell ref="X2:X14"/>
    <mergeCell ref="X15:X29"/>
    <mergeCell ref="X30:X38"/>
  </mergeCells>
  <phoneticPr fontId="4"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652D-9FE8-463A-B375-906FDFC11E1E}">
  <dimension ref="A1:AL28"/>
  <sheetViews>
    <sheetView zoomScale="70" workbookViewId="0">
      <selection activeCell="AJ24" sqref="AJ24"/>
    </sheetView>
  </sheetViews>
  <sheetFormatPr defaultRowHeight="14.4" x14ac:dyDescent="0.3"/>
  <cols>
    <col min="3" max="3" width="13.109375" bestFit="1" customWidth="1"/>
    <col min="10" max="10" width="14.44140625" bestFit="1" customWidth="1"/>
    <col min="11" max="11" width="14.5546875" bestFit="1" customWidth="1"/>
    <col min="12" max="30" width="9.109375" bestFit="1" customWidth="1"/>
    <col min="31" max="31" width="9" bestFit="1" customWidth="1"/>
  </cols>
  <sheetData>
    <row r="1" spans="1:32" ht="15.6" x14ac:dyDescent="0.3">
      <c r="A1" s="11" t="s">
        <v>128</v>
      </c>
      <c r="B1" s="18" t="s">
        <v>87</v>
      </c>
      <c r="C1" s="17" t="s">
        <v>227</v>
      </c>
      <c r="D1" s="18" t="s">
        <v>338</v>
      </c>
      <c r="E1" s="17" t="s">
        <v>229</v>
      </c>
      <c r="F1" s="18" t="s">
        <v>203</v>
      </c>
      <c r="G1" s="18" t="s">
        <v>203</v>
      </c>
      <c r="H1" s="17" t="s">
        <v>234</v>
      </c>
      <c r="I1" s="17" t="s">
        <v>235</v>
      </c>
      <c r="J1" s="17" t="s">
        <v>236</v>
      </c>
      <c r="K1" s="17" t="s">
        <v>237</v>
      </c>
      <c r="L1" s="17" t="s">
        <v>240</v>
      </c>
      <c r="M1" s="17" t="s">
        <v>229</v>
      </c>
      <c r="N1" s="17" t="s">
        <v>190</v>
      </c>
      <c r="O1" s="50" t="s">
        <v>185</v>
      </c>
      <c r="P1" s="17" t="s">
        <v>243</v>
      </c>
      <c r="Q1" s="17" t="s">
        <v>167</v>
      </c>
      <c r="R1" s="17" t="s">
        <v>245</v>
      </c>
      <c r="S1" s="17" t="s">
        <v>241</v>
      </c>
      <c r="T1" s="18" t="s">
        <v>341</v>
      </c>
      <c r="U1" s="17" t="s">
        <v>28</v>
      </c>
      <c r="V1" s="17"/>
      <c r="W1" s="17"/>
      <c r="X1" s="17"/>
      <c r="Y1" s="17"/>
      <c r="Z1" s="17"/>
      <c r="AA1" s="17"/>
      <c r="AB1" s="17"/>
      <c r="AC1" s="13" t="s">
        <v>11</v>
      </c>
    </row>
    <row r="2" spans="1:32" ht="15.6" x14ac:dyDescent="0.3">
      <c r="A2" s="11" t="s">
        <v>129</v>
      </c>
      <c r="B2" s="17" t="s">
        <v>249</v>
      </c>
      <c r="C2" s="18" t="s">
        <v>339</v>
      </c>
      <c r="D2" s="17" t="s">
        <v>118</v>
      </c>
      <c r="E2" s="17" t="s">
        <v>313</v>
      </c>
      <c r="F2" s="17" t="s">
        <v>252</v>
      </c>
      <c r="G2" s="17" t="s">
        <v>254</v>
      </c>
      <c r="H2" s="17" t="s">
        <v>255</v>
      </c>
      <c r="I2" s="17" t="s">
        <v>289</v>
      </c>
      <c r="J2" s="17" t="s">
        <v>105</v>
      </c>
      <c r="K2" s="18" t="s">
        <v>34</v>
      </c>
      <c r="L2" s="18" t="s">
        <v>340</v>
      </c>
      <c r="M2" s="17" t="s">
        <v>385</v>
      </c>
      <c r="N2" s="17" t="s">
        <v>260</v>
      </c>
      <c r="O2" s="17" t="s">
        <v>261</v>
      </c>
      <c r="P2" s="17" t="s">
        <v>314</v>
      </c>
      <c r="Q2" s="17" t="s">
        <v>263</v>
      </c>
      <c r="R2" s="17" t="s">
        <v>185</v>
      </c>
      <c r="S2" s="17" t="s">
        <v>56</v>
      </c>
      <c r="T2" s="17" t="s">
        <v>264</v>
      </c>
      <c r="U2" s="17" t="s">
        <v>217</v>
      </c>
      <c r="V2" s="17" t="s">
        <v>265</v>
      </c>
      <c r="W2" s="17" t="s">
        <v>384</v>
      </c>
      <c r="X2" s="17" t="s">
        <v>267</v>
      </c>
      <c r="Y2" s="17" t="s">
        <v>268</v>
      </c>
      <c r="Z2" s="17" t="s">
        <v>269</v>
      </c>
      <c r="AA2" s="17" t="s">
        <v>300</v>
      </c>
      <c r="AB2" s="17"/>
      <c r="AC2" s="13" t="s">
        <v>11</v>
      </c>
    </row>
    <row r="3" spans="1:32" ht="22.8" x14ac:dyDescent="0.3">
      <c r="J3" s="33" t="s">
        <v>381</v>
      </c>
    </row>
    <row r="4" spans="1:32" ht="30.6" x14ac:dyDescent="0.55000000000000004">
      <c r="B4" s="27" t="s">
        <v>363</v>
      </c>
      <c r="J4" s="34" t="s">
        <v>364</v>
      </c>
      <c r="K4" s="34" t="s">
        <v>366</v>
      </c>
      <c r="L4" s="34"/>
      <c r="M4" s="34"/>
      <c r="N4" s="34"/>
      <c r="O4" s="34"/>
      <c r="P4" s="34"/>
      <c r="Q4" s="34"/>
      <c r="R4" s="35" t="s">
        <v>389</v>
      </c>
    </row>
    <row r="5" spans="1:32" ht="18" x14ac:dyDescent="0.35">
      <c r="J5" s="34" t="s">
        <v>365</v>
      </c>
      <c r="K5" s="34" t="s">
        <v>367</v>
      </c>
      <c r="L5" s="34"/>
      <c r="M5" s="34"/>
      <c r="N5" s="34"/>
      <c r="O5" s="34"/>
      <c r="P5" s="34"/>
      <c r="Q5" s="34"/>
      <c r="R5" s="34" t="s">
        <v>389</v>
      </c>
    </row>
    <row r="6" spans="1:32" x14ac:dyDescent="0.3">
      <c r="J6" s="17" t="s">
        <v>364</v>
      </c>
      <c r="K6" s="31" t="str">
        <f>R4</f>
        <v>(3/6)</v>
      </c>
      <c r="L6" s="17">
        <f>5/8</f>
        <v>0.625</v>
      </c>
      <c r="N6" s="17" t="s">
        <v>369</v>
      </c>
      <c r="O6" s="17"/>
      <c r="P6" s="17">
        <f>'NAIVE BAYES text classification'!E2</f>
        <v>124</v>
      </c>
      <c r="R6" s="17" t="s">
        <v>372</v>
      </c>
      <c r="S6" s="17"/>
      <c r="T6" s="17"/>
      <c r="U6" s="17">
        <f>'NAIVE BAYES text classification'!G2</f>
        <v>107</v>
      </c>
      <c r="W6" s="17">
        <v>1</v>
      </c>
      <c r="AE6" s="58"/>
      <c r="AF6" s="58"/>
    </row>
    <row r="7" spans="1:32" x14ac:dyDescent="0.3">
      <c r="J7" s="17" t="s">
        <v>365</v>
      </c>
      <c r="K7" s="17" t="str">
        <f>R5</f>
        <v>(3/6)</v>
      </c>
      <c r="L7" s="17">
        <f>3/8</f>
        <v>0.375</v>
      </c>
      <c r="N7" s="17" t="s">
        <v>370</v>
      </c>
      <c r="O7" s="17"/>
      <c r="P7" s="17">
        <f>'NAIVE BAYES text classification'!I2</f>
        <v>40</v>
      </c>
      <c r="AE7" s="58"/>
      <c r="AF7" s="58"/>
    </row>
    <row r="8" spans="1:32" x14ac:dyDescent="0.3">
      <c r="AE8" s="58"/>
      <c r="AF8" s="58"/>
    </row>
    <row r="9" spans="1:32" x14ac:dyDescent="0.3">
      <c r="I9" s="29" t="s">
        <v>128</v>
      </c>
      <c r="J9" t="s">
        <v>368</v>
      </c>
      <c r="K9" s="18" t="s">
        <v>87</v>
      </c>
      <c r="L9" s="17" t="s">
        <v>227</v>
      </c>
      <c r="M9" s="18" t="s">
        <v>338</v>
      </c>
      <c r="N9" s="17" t="s">
        <v>229</v>
      </c>
      <c r="O9" s="18" t="s">
        <v>203</v>
      </c>
      <c r="P9" s="18" t="s">
        <v>203</v>
      </c>
      <c r="Q9" s="17" t="s">
        <v>234</v>
      </c>
      <c r="R9" s="17" t="s">
        <v>235</v>
      </c>
      <c r="S9" s="17" t="s">
        <v>236</v>
      </c>
      <c r="T9" s="17" t="s">
        <v>237</v>
      </c>
      <c r="U9" s="17" t="s">
        <v>240</v>
      </c>
      <c r="V9" s="17" t="s">
        <v>229</v>
      </c>
      <c r="W9" s="17" t="s">
        <v>190</v>
      </c>
      <c r="X9" s="17" t="s">
        <v>185</v>
      </c>
      <c r="Y9" s="17" t="s">
        <v>243</v>
      </c>
      <c r="Z9" s="17" t="s">
        <v>167</v>
      </c>
      <c r="AA9" s="17" t="s">
        <v>245</v>
      </c>
      <c r="AB9" s="17" t="s">
        <v>229</v>
      </c>
      <c r="AC9" s="18" t="s">
        <v>341</v>
      </c>
      <c r="AD9" s="17" t="s">
        <v>28</v>
      </c>
      <c r="AE9" s="58"/>
      <c r="AF9" s="58"/>
    </row>
    <row r="10" spans="1:32" x14ac:dyDescent="0.3">
      <c r="K10">
        <f>COUNTIFS(Table2[WORDS IN CLASS1],'DESIRED CLASS'!K9,Table2[CLASS],1)</f>
        <v>2</v>
      </c>
      <c r="L10">
        <f>COUNTIFS(Table2[WORD COUNT IN CLASS 1],'DESIRED CLASS'!L9,Table2[WORDS IN CLASS1],1)</f>
        <v>0</v>
      </c>
      <c r="M10">
        <f>COUNTIFS(Table2[TOTAL WORD IN C1],'DESIRED CLASS'!M9,Table2[WORD COUNT IN CLASS 1],1)</f>
        <v>0</v>
      </c>
      <c r="N10">
        <f>COUNTIFS(Table2[LIKELIHOOD IN CLASS C1],'DESIRED CLASS'!N9,Table2[TOTAL WORD IN C1],1)</f>
        <v>0</v>
      </c>
      <c r="O10">
        <f>COUNTIFS(Table2[UNIQUE WORD],'DESIRED CLASS'!O9,Table2[LIKELIHOOD IN CLASS C1],1)</f>
        <v>0</v>
      </c>
      <c r="P10">
        <f>COUNTIFS(Table2[WORD COUNT IN CLASS 0],'DESIRED CLASS'!P9,Table2[UNIQUE WORD],1)</f>
        <v>0</v>
      </c>
      <c r="Q10">
        <f>COUNTIFS(Table2[TOTAL WORD IN C0],'DESIRED CLASS'!Q9,Table2[WORD COUNT IN CLASS 0],1)</f>
        <v>0</v>
      </c>
      <c r="R10">
        <f>COUNTIFS(Table2[LIKELIHOOD IN CLASS C0],'DESIRED CLASS'!R9,Table2[TOTAL WORD IN C0],1)</f>
        <v>0</v>
      </c>
      <c r="S10">
        <f>COUNTIFS(Table2[DOC NO],'DESIRED CLASS'!S9,Table2[LIKELIHOOD IN CLASS C0],1)</f>
        <v>0</v>
      </c>
      <c r="T10">
        <f>COUNTIFS(Table2[CLASS],'DESIRED CLASS'!T9,Table2[DOC NO],1)</f>
        <v>0</v>
      </c>
      <c r="U10">
        <f>COUNTIFS(Table2[WORDS IN CLASS1],'DESIRED CLASS'!U9,Table2[CLASS],1)</f>
        <v>0</v>
      </c>
      <c r="V10">
        <f>COUNTIFS(Table2[WORD COUNT IN CLASS 1],'DESIRED CLASS'!V9,Table2[WORDS IN CLASS1],1)</f>
        <v>0</v>
      </c>
      <c r="W10">
        <f>COUNTIFS(Table2[TOTAL WORD IN C1],'DESIRED CLASS'!W9,Table2[WORD COUNT IN CLASS 1],1)</f>
        <v>0</v>
      </c>
      <c r="X10">
        <f>COUNTIFS(Table2[WORD COUNT IN CLASS 1],'DESIRED CLASS'!X9,Table2[WORDS IN CLASS1],1)</f>
        <v>0</v>
      </c>
      <c r="Y10">
        <f>COUNTIFS(Table2[TOTAL WORD IN C1],'DESIRED CLASS'!Y9,Table2[WORD COUNT IN CLASS 1],1)</f>
        <v>0</v>
      </c>
      <c r="Z10">
        <f>COUNTIFS(Table2[WORD COUNT IN CLASS 1],'DESIRED CLASS'!Z9,Table2[WORDS IN CLASS1],1)</f>
        <v>0</v>
      </c>
      <c r="AA10">
        <f>COUNTIFS(Table2[TOTAL WORD IN C1],'DESIRED CLASS'!AA9,Table2[WORD COUNT IN CLASS 1],1)</f>
        <v>0</v>
      </c>
      <c r="AB10">
        <f>COUNTIFS(Table2[WORD COUNT IN CLASS 1],'DESIRED CLASS'!AB9,Table2[WORDS IN CLASS1],1)</f>
        <v>0</v>
      </c>
      <c r="AC10">
        <f>COUNTIFS(Table2[TOTAL WORD IN C1],'DESIRED CLASS'!AC9,Table2[WORD COUNT IN CLASS 1],1)</f>
        <v>0</v>
      </c>
      <c r="AD10">
        <f>COUNTIFS(Table2[TOTAL WORD IN C1],'DESIRED CLASS'!AD9,Table2[WORD COUNT IN CLASS 1],1)</f>
        <v>0</v>
      </c>
      <c r="AE10" s="58"/>
      <c r="AF10" s="58"/>
    </row>
    <row r="11" spans="1:32" x14ac:dyDescent="0.3">
      <c r="I11" t="s">
        <v>383</v>
      </c>
      <c r="J11" t="s">
        <v>371</v>
      </c>
      <c r="K11">
        <f>K10+$W$6/($P$6+$U$6)</f>
        <v>2.0043290043290045</v>
      </c>
      <c r="L11">
        <f t="shared" ref="L11:AD11" si="0">L10+$W$6/($P$6+$U$6)</f>
        <v>4.329004329004329E-3</v>
      </c>
      <c r="M11">
        <f t="shared" si="0"/>
        <v>4.329004329004329E-3</v>
      </c>
      <c r="N11">
        <f t="shared" si="0"/>
        <v>4.329004329004329E-3</v>
      </c>
      <c r="O11">
        <f t="shared" si="0"/>
        <v>4.329004329004329E-3</v>
      </c>
      <c r="P11">
        <f t="shared" si="0"/>
        <v>4.329004329004329E-3</v>
      </c>
      <c r="Q11">
        <f t="shared" si="0"/>
        <v>4.329004329004329E-3</v>
      </c>
      <c r="R11">
        <f t="shared" si="0"/>
        <v>4.329004329004329E-3</v>
      </c>
      <c r="S11">
        <f t="shared" si="0"/>
        <v>4.329004329004329E-3</v>
      </c>
      <c r="T11">
        <f t="shared" si="0"/>
        <v>4.329004329004329E-3</v>
      </c>
      <c r="U11">
        <f t="shared" si="0"/>
        <v>4.329004329004329E-3</v>
      </c>
      <c r="V11">
        <f t="shared" si="0"/>
        <v>4.329004329004329E-3</v>
      </c>
      <c r="W11">
        <f t="shared" si="0"/>
        <v>4.329004329004329E-3</v>
      </c>
      <c r="X11">
        <f t="shared" si="0"/>
        <v>4.329004329004329E-3</v>
      </c>
      <c r="Y11">
        <f t="shared" si="0"/>
        <v>4.329004329004329E-3</v>
      </c>
      <c r="Z11">
        <f t="shared" si="0"/>
        <v>4.329004329004329E-3</v>
      </c>
      <c r="AA11">
        <f t="shared" si="0"/>
        <v>4.329004329004329E-3</v>
      </c>
      <c r="AB11">
        <f t="shared" si="0"/>
        <v>4.329004329004329E-3</v>
      </c>
      <c r="AC11">
        <f t="shared" si="0"/>
        <v>4.329004329004329E-3</v>
      </c>
      <c r="AD11">
        <f t="shared" si="0"/>
        <v>4.329004329004329E-3</v>
      </c>
      <c r="AE11" s="58"/>
      <c r="AF11" s="58"/>
    </row>
    <row r="12" spans="1:32" x14ac:dyDescent="0.3">
      <c r="J12" s="28" t="s">
        <v>368</v>
      </c>
      <c r="K12" s="28">
        <f>(L6*K11*L11*M11*N11*O11*P11*Q11*R11*S11*T11*U11*V11*W11*X11*Y11*Z11*AA11*AB11*AC11*AD11)</f>
        <v>1.5460424366922864E-45</v>
      </c>
      <c r="AE12" s="58"/>
      <c r="AF12" s="58"/>
    </row>
    <row r="13" spans="1:32" x14ac:dyDescent="0.3">
      <c r="AE13" s="58"/>
      <c r="AF13" s="58"/>
    </row>
    <row r="14" spans="1:32" x14ac:dyDescent="0.3">
      <c r="J14" t="s">
        <v>373</v>
      </c>
      <c r="K14" s="18" t="s">
        <v>87</v>
      </c>
      <c r="L14" s="17" t="s">
        <v>227</v>
      </c>
      <c r="M14" s="18" t="s">
        <v>338</v>
      </c>
      <c r="N14" s="17" t="s">
        <v>229</v>
      </c>
      <c r="O14" s="18" t="s">
        <v>203</v>
      </c>
      <c r="P14" s="18" t="s">
        <v>203</v>
      </c>
      <c r="Q14" s="17" t="s">
        <v>234</v>
      </c>
      <c r="R14" s="17" t="s">
        <v>235</v>
      </c>
      <c r="S14" s="17" t="s">
        <v>236</v>
      </c>
      <c r="T14" s="17" t="s">
        <v>237</v>
      </c>
      <c r="U14" s="17" t="s">
        <v>240</v>
      </c>
      <c r="V14" s="17" t="s">
        <v>229</v>
      </c>
      <c r="W14" s="17" t="s">
        <v>190</v>
      </c>
      <c r="X14" s="17" t="s">
        <v>185</v>
      </c>
      <c r="Y14" s="17" t="s">
        <v>243</v>
      </c>
      <c r="Z14" s="17" t="s">
        <v>167</v>
      </c>
      <c r="AA14" s="17" t="s">
        <v>245</v>
      </c>
      <c r="AB14" s="17" t="s">
        <v>241</v>
      </c>
      <c r="AC14" s="18" t="s">
        <v>341</v>
      </c>
      <c r="AD14" s="17" t="s">
        <v>28</v>
      </c>
      <c r="AE14" s="58"/>
      <c r="AF14" s="58"/>
    </row>
    <row r="15" spans="1:32" x14ac:dyDescent="0.3">
      <c r="B15" s="16" t="s">
        <v>379</v>
      </c>
      <c r="K15">
        <f>COUNTIFS(Table2[WORDS IN CLASS1],'DESIRED CLASS'!K14,Table2[CLASS],0)</f>
        <v>1</v>
      </c>
      <c r="L15">
        <f>COUNTIFS(Table2[WORDS IN CLASS1],'DESIRED CLASS'!L14,Table2[CLASS],0)</f>
        <v>0</v>
      </c>
      <c r="M15">
        <f>COUNTIFS(Table2[WORDS IN CLASS1],'DESIRED CLASS'!M14,Table2[CLASS],0)</f>
        <v>0</v>
      </c>
      <c r="N15">
        <f>COUNTIFS(Table2[WORDS IN CLASS1],'DESIRED CLASS'!N14,Table2[CLASS],0)</f>
        <v>0</v>
      </c>
      <c r="O15">
        <f>COUNTIFS(Table2[WORDS IN CLASS1],'DESIRED CLASS'!O14,Table2[CLASS],0)</f>
        <v>2</v>
      </c>
      <c r="P15">
        <f>COUNTIFS(Table2[WORDS IN CLASS1],'DESIRED CLASS'!P14,Table2[CLASS],0)</f>
        <v>2</v>
      </c>
      <c r="Q15">
        <f>COUNTIFS(Table2[WORDS IN CLASS1],'DESIRED CLASS'!Q14,Table2[CLASS],0)</f>
        <v>0</v>
      </c>
      <c r="R15">
        <f>COUNTIFS(Table2[WORDS IN CLASS1],'DESIRED CLASS'!R14,Table2[CLASS],0)</f>
        <v>0</v>
      </c>
      <c r="S15">
        <f>COUNTIFS(Table2[DOC NO],'DESIRED CLASS'!S14,Table2[LIKELIHOOD IN CLASS C0],0)</f>
        <v>0</v>
      </c>
      <c r="T15">
        <f>COUNTIFS(Table2[WORDS IN CLASS1],'DESIRED CLASS'!T14,Table2[CLASS],0)</f>
        <v>0</v>
      </c>
      <c r="U15">
        <f>COUNTIFS(Table2[WORDS IN CLASS1],'DESIRED CLASS'!U14,Table2[CLASS],0)</f>
        <v>0</v>
      </c>
      <c r="V15">
        <f>COUNTIFS(Table2[WORDS IN CLASS1],'DESIRED CLASS'!V14,Table2[CLASS],0)</f>
        <v>0</v>
      </c>
      <c r="W15">
        <f>COUNTIFS(Table2[WORDS IN CLASS1],'DESIRED CLASS'!W14,Table2[CLASS],0)</f>
        <v>0</v>
      </c>
      <c r="X15">
        <f>COUNTIFS(Table2[WORDS IN CLASS1],'DESIRED CLASS'!X14,Table2[CLASS],0)</f>
        <v>3</v>
      </c>
      <c r="Y15">
        <f>COUNTIFS(Table2[WORDS IN CLASS1],'DESIRED CLASS'!Y14,Table2[CLASS],0)</f>
        <v>0</v>
      </c>
      <c r="Z15">
        <f>COUNTIFS(Table2[WORD COUNT IN CLASS 0],'DESIRED CLASS'!Z14,Table2[UNIQUE WORD],0)</f>
        <v>0</v>
      </c>
      <c r="AA15">
        <f>COUNTIFS(Table2[TOTAL WORD IN C0],'DESIRED CLASS'!AA14,Table2[WORD COUNT IN CLASS 0],0)</f>
        <v>0</v>
      </c>
      <c r="AB15">
        <f>COUNTIFS(Table2[LIKELIHOOD IN CLASS C0],'DESIRED CLASS'!AB14,Table2[TOTAL WORD IN C0],0)</f>
        <v>0</v>
      </c>
      <c r="AC15">
        <f>COUNTIFS(Table2[TOTAL WORD IN C0],'DESIRED CLASS'!AC14,Table2[WORD COUNT IN CLASS 0],0)</f>
        <v>0</v>
      </c>
      <c r="AD15">
        <f>COUNTIFS(Table2[TOTAL WORD IN C0],'DESIRED CLASS'!AD14,Table2[WORD COUNT IN CLASS 0],0)</f>
        <v>0</v>
      </c>
      <c r="AE15" s="58"/>
      <c r="AF15" s="58"/>
    </row>
    <row r="16" spans="1:32" x14ac:dyDescent="0.3">
      <c r="B16" s="30" t="s">
        <v>128</v>
      </c>
      <c r="C16" s="30">
        <f>MAX(K12,K17)</f>
        <v>9.6164015430584559E-35</v>
      </c>
      <c r="D16" s="30" t="s">
        <v>375</v>
      </c>
      <c r="I16" t="s">
        <v>383</v>
      </c>
      <c r="J16" t="s">
        <v>374</v>
      </c>
      <c r="K16">
        <f>K15+$W$6/($P$7+$U$6)</f>
        <v>1.0068027210884354</v>
      </c>
      <c r="L16">
        <f t="shared" ref="L16:AD16" si="1">L15+$W$6/($P$7+$U$6)</f>
        <v>6.8027210884353739E-3</v>
      </c>
      <c r="M16">
        <f t="shared" si="1"/>
        <v>6.8027210884353739E-3</v>
      </c>
      <c r="N16">
        <f t="shared" si="1"/>
        <v>6.8027210884353739E-3</v>
      </c>
      <c r="O16">
        <f t="shared" si="1"/>
        <v>2.0068027210884352</v>
      </c>
      <c r="P16">
        <f t="shared" si="1"/>
        <v>2.0068027210884352</v>
      </c>
      <c r="Q16">
        <f t="shared" si="1"/>
        <v>6.8027210884353739E-3</v>
      </c>
      <c r="R16">
        <f t="shared" si="1"/>
        <v>6.8027210884353739E-3</v>
      </c>
      <c r="S16">
        <f t="shared" si="1"/>
        <v>6.8027210884353739E-3</v>
      </c>
      <c r="T16">
        <f t="shared" si="1"/>
        <v>6.8027210884353739E-3</v>
      </c>
      <c r="U16">
        <f t="shared" si="1"/>
        <v>6.8027210884353739E-3</v>
      </c>
      <c r="V16">
        <f t="shared" si="1"/>
        <v>6.8027210884353739E-3</v>
      </c>
      <c r="W16">
        <f t="shared" si="1"/>
        <v>6.8027210884353739E-3</v>
      </c>
      <c r="X16">
        <f t="shared" si="1"/>
        <v>3.0068027210884352</v>
      </c>
      <c r="Y16">
        <f t="shared" si="1"/>
        <v>6.8027210884353739E-3</v>
      </c>
      <c r="Z16">
        <f t="shared" si="1"/>
        <v>6.8027210884353739E-3</v>
      </c>
      <c r="AA16">
        <f t="shared" si="1"/>
        <v>6.8027210884353739E-3</v>
      </c>
      <c r="AB16">
        <f t="shared" si="1"/>
        <v>6.8027210884353739E-3</v>
      </c>
      <c r="AC16">
        <f t="shared" si="1"/>
        <v>6.8027210884353739E-3</v>
      </c>
      <c r="AD16">
        <f t="shared" si="1"/>
        <v>6.8027210884353739E-3</v>
      </c>
    </row>
    <row r="17" spans="2:38" x14ac:dyDescent="0.3">
      <c r="B17" s="30" t="s">
        <v>129</v>
      </c>
      <c r="C17" s="30">
        <f>MAX(K22,K27)</f>
        <v>1.1689918355603696E-49</v>
      </c>
      <c r="D17" s="30" t="s">
        <v>378</v>
      </c>
      <c r="J17" s="28" t="s">
        <v>373</v>
      </c>
      <c r="K17" s="29">
        <f>L7*K16*L16*M16*N16*O16*P16*Q16*R16*S16*T16*U16*V16*W16*X16*Y16*Z16*AA16*AB16*AC16*AD16</f>
        <v>9.6164015430584559E-35</v>
      </c>
      <c r="AK17" s="58"/>
      <c r="AL17" s="58"/>
    </row>
    <row r="18" spans="2:38" x14ac:dyDescent="0.3">
      <c r="AK18" s="58"/>
      <c r="AL18" s="58"/>
    </row>
    <row r="19" spans="2:38" x14ac:dyDescent="0.3">
      <c r="I19" s="29" t="s">
        <v>129</v>
      </c>
      <c r="J19" t="s">
        <v>376</v>
      </c>
      <c r="K19" s="17" t="s">
        <v>249</v>
      </c>
      <c r="L19" s="18" t="s">
        <v>339</v>
      </c>
      <c r="M19" s="17" t="s">
        <v>118</v>
      </c>
      <c r="N19" s="17" t="s">
        <v>313</v>
      </c>
      <c r="O19" s="17" t="s">
        <v>252</v>
      </c>
      <c r="P19" s="17" t="s">
        <v>254</v>
      </c>
      <c r="Q19" s="17" t="s">
        <v>255</v>
      </c>
      <c r="R19" s="17" t="s">
        <v>289</v>
      </c>
      <c r="S19" s="17" t="s">
        <v>105</v>
      </c>
      <c r="T19" s="18" t="s">
        <v>34</v>
      </c>
      <c r="U19" s="18" t="s">
        <v>340</v>
      </c>
      <c r="V19" s="17" t="s">
        <v>385</v>
      </c>
      <c r="W19" s="17" t="s">
        <v>260</v>
      </c>
      <c r="X19" s="17" t="s">
        <v>261</v>
      </c>
      <c r="Y19" s="17" t="s">
        <v>314</v>
      </c>
      <c r="Z19" s="17" t="s">
        <v>263</v>
      </c>
      <c r="AA19" s="17" t="s">
        <v>185</v>
      </c>
      <c r="AB19" s="17" t="s">
        <v>56</v>
      </c>
      <c r="AC19" s="17" t="s">
        <v>264</v>
      </c>
      <c r="AD19" s="17" t="s">
        <v>217</v>
      </c>
      <c r="AE19" s="17" t="s">
        <v>265</v>
      </c>
      <c r="AF19" s="17" t="s">
        <v>384</v>
      </c>
      <c r="AG19" s="17" t="s">
        <v>267</v>
      </c>
      <c r="AH19" s="17" t="s">
        <v>268</v>
      </c>
      <c r="AI19" s="17" t="s">
        <v>269</v>
      </c>
      <c r="AJ19" s="17" t="s">
        <v>300</v>
      </c>
      <c r="AK19" s="58"/>
      <c r="AL19" s="58"/>
    </row>
    <row r="20" spans="2:38" x14ac:dyDescent="0.3">
      <c r="K20">
        <f>COUNTIFS(Table2[WORDS IN CLASS1],'DESIRED CLASS'!K19,Table2[CLASS],1)</f>
        <v>0</v>
      </c>
      <c r="L20">
        <f>COUNTIFS(Table2[WORDS IN CLASS1],'DESIRED CLASS'!L19,Table2[CLASS],1)</f>
        <v>0</v>
      </c>
      <c r="M20">
        <f>COUNTIFS(Table2[TOTAL WORD IN C1],'DESIRED CLASS'!M19,Table2[WORD COUNT IN CLASS 1],1)</f>
        <v>0</v>
      </c>
      <c r="N20">
        <f>COUNTIFS(Table2[WORDS IN CLASS1],'DESIRED CLASS'!N19,Table2[CLASS],1)</f>
        <v>0</v>
      </c>
      <c r="O20">
        <f>COUNTIFS(Table2[WORDS IN CLASS1],'DESIRED CLASS'!O19,Table2[CLASS],1)</f>
        <v>0</v>
      </c>
      <c r="P20">
        <f>COUNTIFS(Table2[WORDS IN CLASS1],'DESIRED CLASS'!P19,Table2[CLASS],1)</f>
        <v>0</v>
      </c>
      <c r="Q20">
        <f>COUNTIFS(Table2[WORDS IN CLASS1],'DESIRED CLASS'!Q19,Table2[CLASS],1)</f>
        <v>0</v>
      </c>
      <c r="R20">
        <f>COUNTIFS(Table2[WORDS IN CLASS1],'DESIRED CLASS'!R19,Table2[CLASS],1)</f>
        <v>0</v>
      </c>
      <c r="S20">
        <f>COUNTIFS(Table2[WORDS IN CLASS1],'DESIRED CLASS'!S19,Table2[CLASS],1)</f>
        <v>2</v>
      </c>
      <c r="T20">
        <f>COUNTIFS(Table2[CLASS],'DESIRED CLASS'!T19,Table2[DOC NO],1)</f>
        <v>0</v>
      </c>
      <c r="U20">
        <f>COUNTIFS(Table2[WORDS IN CLASS1],'DESIRED CLASS'!U19,Table2[CLASS],1)</f>
        <v>0</v>
      </c>
      <c r="V20">
        <f>COUNTIFS(Table2[WORDS IN CLASS1],'DESIRED CLASS'!V19,Table2[CLASS],1)</f>
        <v>0</v>
      </c>
      <c r="W20">
        <f>COUNTIFS(Table2[WORDS IN CLASS1],'DESIRED CLASS'!W19,Table2[CLASS],1)</f>
        <v>0</v>
      </c>
      <c r="X20">
        <f>COUNTIFS(Table2[WORDS IN CLASS1],'DESIRED CLASS'!X19,Table2[CLASS],1)</f>
        <v>0</v>
      </c>
      <c r="Y20">
        <f>COUNTIFS(Table2[WORDS IN CLASS1],'DESIRED CLASS'!Y19,Table2[CLASS],1)</f>
        <v>0</v>
      </c>
      <c r="Z20">
        <f>COUNTIFS(Table2[WORDS IN CLASS1],'DESIRED CLASS'!Z19,Table2[CLASS],1)</f>
        <v>0</v>
      </c>
      <c r="AA20">
        <f>COUNTIFS(Table2[WORDS IN CLASS1],'DESIRED CLASS'!AA19,Table2[CLASS],1)</f>
        <v>0</v>
      </c>
      <c r="AB20">
        <f>COUNTIFS(Table2[WORDS IN CLASS1],'DESIRED CLASS'!AB19,Table2[CLASS],1)</f>
        <v>2</v>
      </c>
      <c r="AC20">
        <f>COUNTIFS(Table2[WORDS IN CLASS1],'DESIRED CLASS'!AC19,Table2[CLASS],1)</f>
        <v>0</v>
      </c>
      <c r="AD20">
        <f>COUNTIFS(Table2[WORDS IN CLASS1],'DESIRED CLASS'!AD19,Table2[CLASS],1)</f>
        <v>2</v>
      </c>
      <c r="AE20">
        <f>COUNTIFS(Table2[WORDS IN CLASS1],'DESIRED CLASS'!AE19,Table2[CLASS],1)</f>
        <v>0</v>
      </c>
      <c r="AF20">
        <f>COUNTIFS(Table2[WORDS IN CLASS1],'DESIRED CLASS'!AF19,Table2[CLASS],1)</f>
        <v>0</v>
      </c>
      <c r="AG20">
        <f>COUNTIFS(Table2[WORDS IN CLASS1],'DESIRED CLASS'!AG19,Table2[CLASS],1)</f>
        <v>0</v>
      </c>
      <c r="AH20">
        <f>COUNTIFS(Table2[WORDS IN CLASS1],'DESIRED CLASS'!AH19,Table2[CLASS],1)</f>
        <v>0</v>
      </c>
      <c r="AI20">
        <f>COUNTIFS(Table2[WORDS IN CLASS1],'DESIRED CLASS'!AI19,Table2[CLASS],1)</f>
        <v>0</v>
      </c>
      <c r="AJ20">
        <f>COUNTIFS(Table2[WORDS IN CLASS1],'DESIRED CLASS'!AJ19,Table2[CLASS],1)</f>
        <v>1</v>
      </c>
      <c r="AK20" s="58"/>
      <c r="AL20" s="58"/>
    </row>
    <row r="21" spans="2:38" x14ac:dyDescent="0.3">
      <c r="I21" t="s">
        <v>383</v>
      </c>
      <c r="J21" t="s">
        <v>371</v>
      </c>
      <c r="K21">
        <f>K20+$W$6/($P$6+$U$6)</f>
        <v>4.329004329004329E-3</v>
      </c>
      <c r="L21">
        <f t="shared" ref="L21:AJ21" si="2">L20+$W$6/($P$6+$U$6)</f>
        <v>4.329004329004329E-3</v>
      </c>
      <c r="M21">
        <f t="shared" si="2"/>
        <v>4.329004329004329E-3</v>
      </c>
      <c r="N21">
        <f t="shared" si="2"/>
        <v>4.329004329004329E-3</v>
      </c>
      <c r="O21">
        <f t="shared" si="2"/>
        <v>4.329004329004329E-3</v>
      </c>
      <c r="P21">
        <f t="shared" si="2"/>
        <v>4.329004329004329E-3</v>
      </c>
      <c r="Q21">
        <f t="shared" si="2"/>
        <v>4.329004329004329E-3</v>
      </c>
      <c r="R21">
        <f t="shared" si="2"/>
        <v>4.329004329004329E-3</v>
      </c>
      <c r="S21">
        <f t="shared" si="2"/>
        <v>2.0043290043290045</v>
      </c>
      <c r="T21">
        <f t="shared" si="2"/>
        <v>4.329004329004329E-3</v>
      </c>
      <c r="U21">
        <f t="shared" si="2"/>
        <v>4.329004329004329E-3</v>
      </c>
      <c r="V21">
        <f t="shared" si="2"/>
        <v>4.329004329004329E-3</v>
      </c>
      <c r="W21">
        <f t="shared" si="2"/>
        <v>4.329004329004329E-3</v>
      </c>
      <c r="X21">
        <f t="shared" si="2"/>
        <v>4.329004329004329E-3</v>
      </c>
      <c r="Y21">
        <f t="shared" si="2"/>
        <v>4.329004329004329E-3</v>
      </c>
      <c r="Z21">
        <f t="shared" si="2"/>
        <v>4.329004329004329E-3</v>
      </c>
      <c r="AA21">
        <f t="shared" si="2"/>
        <v>4.329004329004329E-3</v>
      </c>
      <c r="AB21">
        <f t="shared" si="2"/>
        <v>2.0043290043290045</v>
      </c>
      <c r="AC21">
        <f t="shared" si="2"/>
        <v>4.329004329004329E-3</v>
      </c>
      <c r="AD21">
        <f t="shared" si="2"/>
        <v>2.0043290043290045</v>
      </c>
      <c r="AE21">
        <f t="shared" si="2"/>
        <v>4.329004329004329E-3</v>
      </c>
      <c r="AF21">
        <f t="shared" si="2"/>
        <v>4.329004329004329E-3</v>
      </c>
      <c r="AG21">
        <f t="shared" si="2"/>
        <v>4.329004329004329E-3</v>
      </c>
      <c r="AH21">
        <f t="shared" si="2"/>
        <v>4.329004329004329E-3</v>
      </c>
      <c r="AI21">
        <f t="shared" si="2"/>
        <v>4.329004329004329E-3</v>
      </c>
      <c r="AJ21">
        <f t="shared" si="2"/>
        <v>1.0043290043290043</v>
      </c>
      <c r="AK21" s="58"/>
      <c r="AL21" s="58"/>
    </row>
    <row r="22" spans="2:38" x14ac:dyDescent="0.3">
      <c r="J22" s="28" t="s">
        <v>368</v>
      </c>
      <c r="K22" s="28">
        <f>(L6*K21*L21*M21*N21*O21*P21*Q21*R21*S21*T21*U21*V21*W21*X21*Y21*Z21*AB21*AC21*AD21*AE21*AF21*AG21*AH21*AI21*AJ21)</f>
        <v>1.1689918355603696E-49</v>
      </c>
      <c r="AK22" s="58"/>
      <c r="AL22" s="58"/>
    </row>
    <row r="23" spans="2:38" x14ac:dyDescent="0.3">
      <c r="AK23" s="58"/>
      <c r="AL23" s="58"/>
    </row>
    <row r="24" spans="2:38" x14ac:dyDescent="0.3">
      <c r="J24" t="s">
        <v>377</v>
      </c>
      <c r="K24" s="17" t="s">
        <v>249</v>
      </c>
      <c r="L24" s="18" t="s">
        <v>339</v>
      </c>
      <c r="M24" s="17" t="s">
        <v>118</v>
      </c>
      <c r="N24" s="17" t="s">
        <v>313</v>
      </c>
      <c r="O24" s="17" t="s">
        <v>252</v>
      </c>
      <c r="P24" s="17" t="s">
        <v>254</v>
      </c>
      <c r="Q24" s="17" t="s">
        <v>255</v>
      </c>
      <c r="R24" s="17" t="s">
        <v>289</v>
      </c>
      <c r="S24" s="17" t="s">
        <v>105</v>
      </c>
      <c r="T24" s="18" t="s">
        <v>34</v>
      </c>
      <c r="U24" s="18" t="s">
        <v>340</v>
      </c>
      <c r="V24" s="17" t="s">
        <v>385</v>
      </c>
      <c r="W24" s="17" t="s">
        <v>260</v>
      </c>
      <c r="X24" s="17" t="s">
        <v>261</v>
      </c>
      <c r="Y24" s="17" t="s">
        <v>314</v>
      </c>
      <c r="Z24" s="17" t="s">
        <v>263</v>
      </c>
      <c r="AA24" s="17" t="s">
        <v>185</v>
      </c>
      <c r="AB24" s="17" t="s">
        <v>56</v>
      </c>
      <c r="AC24" s="17" t="s">
        <v>264</v>
      </c>
      <c r="AD24" s="17" t="s">
        <v>217</v>
      </c>
      <c r="AE24" s="17" t="s">
        <v>265</v>
      </c>
      <c r="AF24" s="17" t="s">
        <v>384</v>
      </c>
      <c r="AG24" s="17" t="s">
        <v>267</v>
      </c>
      <c r="AH24" s="17" t="s">
        <v>268</v>
      </c>
      <c r="AI24" s="17" t="s">
        <v>269</v>
      </c>
      <c r="AJ24" s="17" t="s">
        <v>300</v>
      </c>
      <c r="AK24" s="58"/>
      <c r="AL24" s="58"/>
    </row>
    <row r="25" spans="2:38" x14ac:dyDescent="0.3">
      <c r="K25">
        <f>COUNTIFS(Table2[WORDS IN CLASS1],'DESIRED CLASS'!K24,Table2[CLASS],0)</f>
        <v>0</v>
      </c>
      <c r="L25">
        <f>COUNTIFS(Table2[WORDS IN CLASS1],'DESIRED CLASS'!L24,Table2[CLASS],0)</f>
        <v>0</v>
      </c>
      <c r="M25">
        <f>COUNTIFS(Table2[WORDS IN CLASS1],'DESIRED CLASS'!M24,Table2[CLASS],0)</f>
        <v>0</v>
      </c>
      <c r="N25">
        <f>COUNTIFS(Table2[WORDS IN CLASS1],'DESIRED CLASS'!N24,Table2[CLASS],0)</f>
        <v>0</v>
      </c>
      <c r="O25">
        <f>COUNTIFS(Table2[WORDS IN CLASS1],'DESIRED CLASS'!O24,Table2[CLASS],0)</f>
        <v>0</v>
      </c>
      <c r="P25">
        <f>COUNTIFS(Table2[WORDS IN CLASS1],'DESIRED CLASS'!P24,Table2[CLASS],0)</f>
        <v>0</v>
      </c>
      <c r="Q25">
        <f>COUNTIFS(Table2[WORDS IN CLASS1],'DESIRED CLASS'!Q24,Table2[CLASS],0)</f>
        <v>0</v>
      </c>
      <c r="R25">
        <f>COUNTIFS(Table2[WORDS IN CLASS1],'DESIRED CLASS'!R24,Table2[CLASS],0)</f>
        <v>0</v>
      </c>
      <c r="S25">
        <f>COUNTIFS(Table2[WORDS IN CLASS1],'DESIRED CLASS'!S24,Table2[CLASS],0)</f>
        <v>0</v>
      </c>
      <c r="T25">
        <f>COUNTIFS(Table2[WORDS IN CLASS1],'DESIRED CLASS'!T24,Table2[CLASS],0)</f>
        <v>0</v>
      </c>
      <c r="U25">
        <f>COUNTIFS(Table2[WORDS IN CLASS1],'DESIRED CLASS'!U24,Table2[CLASS],0)</f>
        <v>0</v>
      </c>
      <c r="V25">
        <f>COUNTIFS(Table2[WORDS IN CLASS1],'DESIRED CLASS'!V24,Table2[CLASS],0)</f>
        <v>0</v>
      </c>
      <c r="W25">
        <f>COUNTIFS(Table2[WORDS IN CLASS1],'DESIRED CLASS'!W24,Table2[CLASS],0)</f>
        <v>0</v>
      </c>
      <c r="X25">
        <f>COUNTIFS(Table2[WORDS IN CLASS1],'DESIRED CLASS'!X24,Table2[CLASS],0)</f>
        <v>0</v>
      </c>
      <c r="Y25">
        <f>COUNTIFS(Table2[WORDS IN CLASS1],'DESIRED CLASS'!Y24,Table2[CLASS],0)</f>
        <v>0</v>
      </c>
      <c r="Z25">
        <f>COUNTIFS(Table2[WORDS IN CLASS1],'DESIRED CLASS'!Z24,Table2[CLASS],0)</f>
        <v>0</v>
      </c>
      <c r="AA25">
        <f>COUNTIFS(Table2[WORDS IN CLASS1],'DESIRED CLASS'!AA24,Table2[CLASS],0)</f>
        <v>3</v>
      </c>
      <c r="AB25">
        <f>COUNTIFS(Table2[WORDS IN CLASS1],'DESIRED CLASS'!AB24,Table2[CLASS],0)</f>
        <v>1</v>
      </c>
      <c r="AC25">
        <f>COUNTIFS(Table2[WORDS IN CLASS1],'DESIRED CLASS'!AC24,Table2[CLASS],0)</f>
        <v>0</v>
      </c>
      <c r="AD25">
        <f>COUNTIFS(Table2[WORDS IN CLASS1],'DESIRED CLASS'!AD24,Table2[CLASS],0)</f>
        <v>0</v>
      </c>
      <c r="AE25">
        <f>COUNTIFS(Table2[WORDS IN CLASS1],'DESIRED CLASS'!AE24,Table2[CLASS],0)</f>
        <v>0</v>
      </c>
      <c r="AF25">
        <f>COUNTIFS(Table2[WORDS IN CLASS1],'DESIRED CLASS'!AF24,Table2[CLASS],0)</f>
        <v>0</v>
      </c>
      <c r="AG25">
        <f>COUNTIFS(Table2[WORDS IN CLASS1],'DESIRED CLASS'!AG24,Table2[CLASS],0)</f>
        <v>0</v>
      </c>
      <c r="AH25">
        <f>COUNTIFS(Table2[WORDS IN CLASS1],'DESIRED CLASS'!AH24,Table2[CLASS],0)</f>
        <v>0</v>
      </c>
      <c r="AI25">
        <f>COUNTIFS(Table2[WORDS IN CLASS1],'DESIRED CLASS'!AI24,Table2[CLASS],0)</f>
        <v>0</v>
      </c>
      <c r="AJ25">
        <f>COUNTIFS(Table2[WORDS IN CLASS1],'DESIRED CLASS'!AJ24,Table2[CLASS],0)</f>
        <v>0</v>
      </c>
      <c r="AK25" s="58"/>
      <c r="AL25" s="58"/>
    </row>
    <row r="26" spans="2:38" x14ac:dyDescent="0.3">
      <c r="I26" t="s">
        <v>383</v>
      </c>
      <c r="J26" t="s">
        <v>374</v>
      </c>
      <c r="K26">
        <f>K25+$W$6/($P$7+$U$6)</f>
        <v>6.8027210884353739E-3</v>
      </c>
      <c r="L26">
        <f t="shared" ref="L26:AJ26" si="3">L25+$W$6/($P$7+$U$6)</f>
        <v>6.8027210884353739E-3</v>
      </c>
      <c r="M26">
        <f t="shared" si="3"/>
        <v>6.8027210884353739E-3</v>
      </c>
      <c r="N26">
        <f t="shared" si="3"/>
        <v>6.8027210884353739E-3</v>
      </c>
      <c r="O26">
        <f t="shared" si="3"/>
        <v>6.8027210884353739E-3</v>
      </c>
      <c r="P26">
        <f t="shared" si="3"/>
        <v>6.8027210884353739E-3</v>
      </c>
      <c r="Q26">
        <f t="shared" si="3"/>
        <v>6.8027210884353739E-3</v>
      </c>
      <c r="R26">
        <f t="shared" si="3"/>
        <v>6.8027210884353739E-3</v>
      </c>
      <c r="S26">
        <f t="shared" si="3"/>
        <v>6.8027210884353739E-3</v>
      </c>
      <c r="T26">
        <f t="shared" si="3"/>
        <v>6.8027210884353739E-3</v>
      </c>
      <c r="U26">
        <f t="shared" si="3"/>
        <v>6.8027210884353739E-3</v>
      </c>
      <c r="V26">
        <f t="shared" si="3"/>
        <v>6.8027210884353739E-3</v>
      </c>
      <c r="W26">
        <f t="shared" si="3"/>
        <v>6.8027210884353739E-3</v>
      </c>
      <c r="X26">
        <f t="shared" si="3"/>
        <v>6.8027210884353739E-3</v>
      </c>
      <c r="Y26">
        <f t="shared" si="3"/>
        <v>6.8027210884353739E-3</v>
      </c>
      <c r="Z26">
        <f t="shared" si="3"/>
        <v>6.8027210884353739E-3</v>
      </c>
      <c r="AA26">
        <f t="shared" si="3"/>
        <v>3.0068027210884352</v>
      </c>
      <c r="AB26">
        <f t="shared" si="3"/>
        <v>1.0068027210884354</v>
      </c>
      <c r="AC26">
        <f t="shared" si="3"/>
        <v>6.8027210884353739E-3</v>
      </c>
      <c r="AD26">
        <f t="shared" si="3"/>
        <v>6.8027210884353739E-3</v>
      </c>
      <c r="AE26">
        <f t="shared" si="3"/>
        <v>6.8027210884353739E-3</v>
      </c>
      <c r="AF26">
        <f t="shared" si="3"/>
        <v>6.8027210884353739E-3</v>
      </c>
      <c r="AG26">
        <f t="shared" si="3"/>
        <v>6.8027210884353739E-3</v>
      </c>
      <c r="AH26">
        <f t="shared" si="3"/>
        <v>6.8027210884353739E-3</v>
      </c>
      <c r="AI26">
        <f t="shared" si="3"/>
        <v>6.8027210884353739E-3</v>
      </c>
      <c r="AJ26">
        <f t="shared" si="3"/>
        <v>6.8027210884353739E-3</v>
      </c>
      <c r="AK26" s="58"/>
      <c r="AL26" s="58"/>
    </row>
    <row r="27" spans="2:38" x14ac:dyDescent="0.3">
      <c r="J27" s="28" t="s">
        <v>377</v>
      </c>
      <c r="K27" s="29">
        <f>L7*K26*L26*M26*N26*O26*P26*Q26*R26*S26*T26*U26*V26*W26*X26*Y26*Z26*AB26*AC26*AD26*AE26*AF26*AG26*AH26*AI26*AJ26</f>
        <v>3.6421649814672849E-53</v>
      </c>
      <c r="AK27" s="58"/>
      <c r="AL27" s="58"/>
    </row>
    <row r="28" spans="2:38" x14ac:dyDescent="0.3">
      <c r="AK28" s="58"/>
      <c r="AL28" s="5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vt:lpstr>
      <vt:lpstr>TEXT PREPROCESSING</vt:lpstr>
      <vt:lpstr>NAIVE BAYES text classification</vt:lpstr>
      <vt:lpstr>DESIRED CLASS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Keerthana R.P</dc:creator>
  <cp:lastModifiedBy>Keerthana R.P</cp:lastModifiedBy>
  <dcterms:created xsi:type="dcterms:W3CDTF">2026-01-06T11:00:45Z</dcterms:created>
  <dcterms:modified xsi:type="dcterms:W3CDTF">2026-07-08T17:57:25Z</dcterms:modified>
</cp:coreProperties>
</file>